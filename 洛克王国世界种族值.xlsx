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种族值" sheetId="1" r:id="rId3"/>
    <sheet name="速度线" sheetId="2" r:id="rId4"/>
    <sheet name="属性" sheetId="3" r:id="rId5"/>
  </sheets>
  <calcPr/>
</workbook>
</file>

<file path=xl/sharedStrings.xml><?xml version="1.0" encoding="utf-8"?>
<sst xmlns="http://schemas.openxmlformats.org/spreadsheetml/2006/main" count="1349" uniqueCount="1349">
  <si>
    <t/>
  </si>
  <si>
    <t>宠物编号</t>
  </si>
  <si>
    <t>宠物名称</t>
  </si>
  <si>
    <t>属性</t>
  </si>
  <si>
    <t>生命</t>
  </si>
  <si>
    <t>物攻</t>
  </si>
  <si>
    <t>魔攻</t>
  </si>
  <si>
    <t>物防</t>
  </si>
  <si>
    <t>魔防</t>
  </si>
  <si>
    <t>速度</t>
  </si>
  <si>
    <t>种族总和</t>
  </si>
  <si>
    <t>有效种族值</t>
  </si>
  <si>
    <t>等效血量</t>
  </si>
  <si>
    <t>最终形态</t>
  </si>
  <si>
    <t>特性</t>
  </si>
  <si>
    <t>内页地址</t>
  </si>
  <si>
    <t>NO.286</t>
  </si>
  <si>
    <t>圣剑骑士</t>
  </si>
  <si>
    <t>机械</t>
  </si>
  <si>
    <t xml:space="preserve"> 特殊</t>
  </si>
  <si>
    <t>王牌宝剑：仅可以使用1号和3号位技能。</t>
  </si>
  <si>
    <t>https://wiki.biligame.com/rocom/%E5%9C%A3%E5%89%91-X</t>
  </si>
  <si>
    <t>圣剑-X</t>
  </si>
  <si>
    <t>正位宝剑：仅可以使用1号位技能。</t>
  </si>
  <si>
    <t>NO.202</t>
  </si>
  <si>
    <t>鳗尾兽</t>
  </si>
  <si>
    <t>地/草</t>
  </si>
  <si>
    <t>铃兰晚钟：首次入场时，失去自己一半的当前生命。</t>
  </si>
  <si>
    <t>https://wiki.biligame.com/rocom/%E9%B3%97%E5%B0%BE%E5%85%BD</t>
  </si>
  <si>
    <t>NO.211</t>
  </si>
  <si>
    <t>迷迷箱怪</t>
  </si>
  <si>
    <t>机械/幻</t>
  </si>
  <si>
    <t>虚假宝箱：自己力竭时，敌方获得攻防+20%。</t>
  </si>
  <si>
    <t>https://wiki.biligame.com/rocom/%E8%BF%B7%E8%BF%B7%E7%AE%B1%E6%80%AA</t>
  </si>
  <si>
    <t>NO.251</t>
  </si>
  <si>
    <t>火焰猿</t>
  </si>
  <si>
    <t>火</t>
  </si>
  <si>
    <t>散热：初始能量为0，入场前己方精灵每放1次火系技能，回复3能量。</t>
  </si>
  <si>
    <t>https://wiki.biligame.com/rocom/%E7%81%AB%E7%84%B0%E7%8C%BF</t>
  </si>
  <si>
    <t>NO.136</t>
  </si>
  <si>
    <t>雪巨人</t>
  </si>
  <si>
    <t>冰</t>
  </si>
  <si>
    <t>打雪仗：初始能量为0，入场前己方精灵每放1次冰系技能，回复3能量。</t>
  </si>
  <si>
    <t>https://wiki.biligame.com/rocom/%E9%9B%AA%E5%B7%A8%E4%BA%BA</t>
  </si>
  <si>
    <t>NO.029</t>
  </si>
  <si>
    <t>布克棱岩</t>
  </si>
  <si>
    <t>地</t>
  </si>
  <si>
    <t>地脉：初始能量为0，入场前己方精灵每放1次地系技能，回复3能量。</t>
  </si>
  <si>
    <t>https://wiki.biligame.com/rocom/%E5%B8%83%E5%85%8B%E6%A3%B1%E5%B2%A9</t>
  </si>
  <si>
    <t>NO.075</t>
  </si>
  <si>
    <t>瞌睡王</t>
  </si>
  <si>
    <t>普通/武</t>
  </si>
  <si>
    <t>慢热型：初始能量为0，入场前己方精灵每成功应对1次，回复5能量。</t>
  </si>
  <si>
    <t>https://wiki.biligame.com/rocom/%E7%9E%8C%E7%9D%A1%E7%8E%8B</t>
  </si>
  <si>
    <t>NO.007</t>
  </si>
  <si>
    <t>烈火战神</t>
  </si>
  <si>
    <t>是</t>
  </si>
  <si>
    <t>爆燃：使用火系技能后，获得双攻永久+30%。</t>
  </si>
  <si>
    <t>https://wiki.biligame.com/rocom/%E7%81%AB%E7%A5%9E</t>
  </si>
  <si>
    <t>NO.285</t>
  </si>
  <si>
    <t>圣剑侍从</t>
  </si>
  <si>
    <t>否</t>
  </si>
  <si>
    <t>https://wiki.biligame.com/rocom/%E5%9C%A3%E5%89%91%E4%BE%8D%E4%BB%8E</t>
  </si>
  <si>
    <t>NO.152</t>
  </si>
  <si>
    <t>圣羽翼王</t>
  </si>
  <si>
    <t>翼</t>
  </si>
  <si>
    <t>飓风：对本精灵的技能，若其他翼系精灵携带相同技能，则获得迅捷。被敌方精灵击败时，自己额外损失1点魔力。</t>
  </si>
  <si>
    <t>https://wiki.biligame.com/rocom/%E5%9C%A3%E7%BE%BD%E7%BF%BC%E7%8E%8B</t>
  </si>
  <si>
    <t>NO.155</t>
  </si>
  <si>
    <t>针叶巡林</t>
  </si>
  <si>
    <t>草/武</t>
  </si>
  <si>
    <t>野性感官：应对成功后，下次行动先手+1。</t>
  </si>
  <si>
    <t>https://wiki.biligame.com/rocom/%E9%92%88%E5%8F%B6%E5%B7%A1%E6%9E%97</t>
  </si>
  <si>
    <t>NO.337</t>
  </si>
  <si>
    <t>落陨星兔</t>
  </si>
  <si>
    <t>幻/幽</t>
  </si>
  <si>
    <t>陨落：在场时，双方回合结束时触发的效果，触发次数-1。</t>
  </si>
  <si>
    <t>https://wiki.biligame.com/rocom/%E8%90%BD%E9%99%A8%E6%98%9F%E5%85%94</t>
  </si>
  <si>
    <t>NO.295</t>
  </si>
  <si>
    <t>龙息帕尔</t>
  </si>
  <si>
    <t>恶</t>
  </si>
  <si>
    <t>付给恶魔的赎价：击败敌方精灵时，敌方额外损失1点魔力。被敌方精灵击败时，自己额外损失1点魔力。</t>
  </si>
  <si>
    <t>https://wiki.biligame.com/rocom/%E9%BE%99%E6%81%AF%E5%B8%95%E5%B0%94</t>
  </si>
  <si>
    <t>NO.122</t>
  </si>
  <si>
    <t>黑猫巫师</t>
  </si>
  <si>
    <t>普通</t>
  </si>
  <si>
    <t>预警：若敌方技能足够击败自己，回合开始时自己获得速度+50。</t>
  </si>
  <si>
    <t>https://wiki.biligame.com/rocom/%E9%BB%91%E7%8C%AB%E5%B7%AB%E5%B8%88</t>
  </si>
  <si>
    <t>NO.090</t>
  </si>
  <si>
    <t>翠顶夫人</t>
  </si>
  <si>
    <t>翼/水</t>
  </si>
  <si>
    <t>洁癖：离场后，自己的增益和减益会被更换入场的精灵继承。</t>
  </si>
  <si>
    <t>https://wiki.biligame.com/rocom/%E7%BF%A0%E9%A1%B6%E5%A4%AB%E4%BA%BA</t>
  </si>
  <si>
    <t>NO.301</t>
  </si>
  <si>
    <t>画间法师手</t>
  </si>
  <si>
    <t>普通/幻</t>
  </si>
  <si>
    <t>灰色肖像：攻击会使敌方已有的减益层数+3。</t>
  </si>
  <si>
    <t>https://wiki.biligame.com/rocom/%E7%94%BB%E9%97%B4%E6%B3%95%E5%B8%88%E6%89%8B</t>
  </si>
  <si>
    <t>NO.334</t>
  </si>
  <si>
    <t>贝古斯</t>
  </si>
  <si>
    <t>机械/火</t>
  </si>
  <si>
    <t>贪心算法：1号位技能获得传动1，且使用后使敌方获得6层灼烧。</t>
  </si>
  <si>
    <t>https://wiki.biligame.com/rocom/%E8%B4%9D%E5%8F%A4%E6%96%AF</t>
  </si>
  <si>
    <t>NO.091</t>
  </si>
  <si>
    <t>黑羽夫人</t>
  </si>
  <si>
    <t>翼/恶</t>
  </si>
  <si>
    <t>贪婪：敌方精灵离场后，其增益和减益会被更换入场的精灵继承。</t>
  </si>
  <si>
    <t>https://wiki.biligame.com/rocom/%E9%BB%91%E7%BE%BD%E5%A4%AB%E4%BA%BA</t>
  </si>
  <si>
    <t>NO.282</t>
  </si>
  <si>
    <t>秩序鱿墨</t>
  </si>
  <si>
    <t>幽/萌</t>
  </si>
  <si>
    <t>绝对秩序：受到非敌方系别的技能攻击时伤害-50%。</t>
  </si>
  <si>
    <t>https://wiki.biligame.com/rocom/%E7%A7%A9%E5%BA%8F%E9%B1%BF%E5%A2%A8</t>
  </si>
  <si>
    <t>NO.117</t>
  </si>
  <si>
    <t>彩虹独角兽</t>
  </si>
  <si>
    <t>光</t>
  </si>
  <si>
    <t>夺目：额外获得3个随机技能，携带的非光系技能，威力+25%。</t>
  </si>
  <si>
    <t>https://wiki.biligame.com/rocom/%E7%99%BD%E9%87%91%E7%8B%AC%E8%A7%92%E5%85%BD</t>
  </si>
  <si>
    <t>NO.200</t>
  </si>
  <si>
    <t>奇梦咪</t>
  </si>
  <si>
    <t>萌</t>
  </si>
  <si>
    <t>三鼓作气：使用能耗为3的技能时，获得攻防永久+20%。</t>
  </si>
  <si>
    <t>https://wiki.biligame.com/rocom/%E6%A2%A6%E6%83%B3%E4%B8%89%E4%B8%89</t>
  </si>
  <si>
    <t>NO.010</t>
  </si>
  <si>
    <t>水灵</t>
  </si>
  <si>
    <t>水</t>
  </si>
  <si>
    <t>浸润：使用水系技能后，全技能能耗-1。</t>
  </si>
  <si>
    <t>https://wiki.biligame.com/rocom/%E6%B0%B4%E7%81%B5</t>
  </si>
  <si>
    <t>NO.336</t>
  </si>
  <si>
    <t>粉耳星兔</t>
  </si>
  <si>
    <t>幻</t>
  </si>
  <si>
    <t>双向光速：在场时，所有回合结束时触发，触发次数+1。</t>
  </si>
  <si>
    <t>https://wiki.biligame.com/rocom/%E7%B2%89%E8%80%B3%E6%98%9F%E5%85%94</t>
  </si>
  <si>
    <t>NO.219</t>
  </si>
  <si>
    <t>里拉鳐</t>
  </si>
  <si>
    <t>吟游之弦：赋予的印记不会替换其他印记，而是同时生效。</t>
  </si>
  <si>
    <t>https://wiki.biligame.com/rocom/%E9%87%8C%E6%8B%89%E9%B3%90</t>
  </si>
  <si>
    <t>NO.271</t>
  </si>
  <si>
    <t>绒光优优</t>
  </si>
  <si>
    <t>地/光</t>
  </si>
  <si>
    <t>哨兵：回合开始时若敌方技能足够击败自己，自己获得速度+50，行动后脱离。</t>
  </si>
  <si>
    <t>https://wiki.biligame.com/rocom/%E7%BB%92%E5%85%89%E4%BC%98%E4%BC%98</t>
  </si>
  <si>
    <t>NO.056</t>
  </si>
  <si>
    <t>幽冥眼</t>
  </si>
  <si>
    <t>幽</t>
  </si>
  <si>
    <t>惊吓：能量等于0的精灵，无法对自己造成伤害。</t>
  </si>
  <si>
    <t>https://wiki.biligame.com/rocom/%E5%B9%BD%E5%86%A5%E7%9C%BC%EF%BC%88%E7%9D%81%E7%9C%BC%E7%9A%84%E6%A0%B7%E5%AD%90%EF%BC%89</t>
  </si>
  <si>
    <t>NO.204</t>
  </si>
  <si>
    <t>伊兰亚龙</t>
  </si>
  <si>
    <t>龙</t>
  </si>
  <si>
    <t>嫉妒：蓄力状态下，可以使用任一携带技能。</t>
  </si>
  <si>
    <t>https://wiki.biligame.com/rocom/%E4%BC%8A%E5%85%B0%E4%BA%9A%E9%BE%99</t>
  </si>
  <si>
    <t>NO.321</t>
  </si>
  <si>
    <t>利灯鱼</t>
  </si>
  <si>
    <t>水/电</t>
  </si>
  <si>
    <t>对流：自己的能耗增加变为能耗降低；能耗降低变为能耗增加。</t>
  </si>
  <si>
    <t>https://wiki.biligame.com/rocom/%E5%88%A9%E7%81%AF%E9%B1%BC</t>
  </si>
  <si>
    <t>NO.201</t>
  </si>
  <si>
    <t>花怨鳗</t>
  </si>
  <si>
    <t>https://wiki.biligame.com/rocom/%E8%8A%B1%E6%80%A8%E9%B3%97</t>
  </si>
  <si>
    <t>NO.162</t>
  </si>
  <si>
    <t>公平鸽</t>
  </si>
  <si>
    <t>衡量：入场时，复制敌方的增益。在场时，若敌方获得增益自己也会获得。</t>
  </si>
  <si>
    <t>https://wiki.biligame.com/rocom/%E5%85%AC%E5%B9%B3%E9%B8%BD</t>
  </si>
  <si>
    <t>NO.146</t>
  </si>
  <si>
    <t>权杖-Ⅴ</t>
  </si>
  <si>
    <t>机械变式：自己携带的技能每回合位置变化时，该技能能耗-1。</t>
  </si>
  <si>
    <t>https://wiki.biligame.com/rocom/%E6%9D%83%E6%9D%96-%E2%85%A4</t>
  </si>
  <si>
    <t>NO.220</t>
  </si>
  <si>
    <t>海枝枝</t>
  </si>
  <si>
    <t>水/幽</t>
  </si>
  <si>
    <t>珊瑚骨：敌方精灵离场时，自己获得全技能能耗-3。</t>
  </si>
  <si>
    <t>https://wiki.biligame.com/rocom/%E6%B5%B7%E6%9E%9D%E6%9E%9D%EF%BC%88%E7%A2%A7%E8%93%9D%E7%8F%8A%E7%91%9A%EF%BC%89</t>
  </si>
  <si>
    <t>NO.257</t>
  </si>
  <si>
    <t>红绒十字</t>
  </si>
  <si>
    <t>火/萌</t>
  </si>
  <si>
    <t>仁心：敌方受到灼烧伤害时，自己回复等量生命。</t>
  </si>
  <si>
    <t>https://wiki.biligame.com/rocom/%E7%BA%A2%E7%BB%92%E5%8D%81%E5%AD%97</t>
  </si>
  <si>
    <t>NO.265</t>
  </si>
  <si>
    <t>立方人</t>
  </si>
  <si>
    <t>盲拧：回合开始时，技能顺序打乱，4号位的技能能耗-4。</t>
  </si>
  <si>
    <t>https://wiki.biligame.com/rocom/%E7%AB%8B%E6%96%B9%E4%BA%BA</t>
  </si>
  <si>
    <t>NO.241</t>
  </si>
  <si>
    <t>龙鱼</t>
  </si>
  <si>
    <t>水/龙</t>
  </si>
  <si>
    <t>洄游：每次进入蓄力状态，获得全技能能耗永久-1。</t>
  </si>
  <si>
    <t>https://wiki.biligame.com/rocom/%E9%BE%99%E9%B1%BC</t>
  </si>
  <si>
    <t>NO.331</t>
  </si>
  <si>
    <t>小皮球</t>
  </si>
  <si>
    <t>电/幻</t>
  </si>
  <si>
    <t>星地善良：回合结束时，若场上的己方精灵能量等于0，自己立即替换此精灵。</t>
  </si>
  <si>
    <t>https://wiki.biligame.com/rocom/%E5%B0%8F%E7%9A%AE%E7%90%83</t>
  </si>
  <si>
    <t>NO.094</t>
  </si>
  <si>
    <t>魔草巫灵</t>
  </si>
  <si>
    <t>草/幻</t>
  </si>
  <si>
    <t>木桶戏法：离场后，更换入场的精灵以木桶状态登场。</t>
  </si>
  <si>
    <t>https://wiki.biligame.com/rocom/%E9%AD%94%E8%8D%89%E5%B7%AB%E7%81%B5</t>
  </si>
  <si>
    <t>NO.273</t>
  </si>
  <si>
    <t>深蓝鲸</t>
  </si>
  <si>
    <t>倾轧：携带的技能受能耗变化效果的影响翻倍。</t>
  </si>
  <si>
    <t>https://wiki.biligame.com/rocom/%E6%B7%B1%E8%93%9D%E9%B2%B8</t>
  </si>
  <si>
    <t>NO.014</t>
  </si>
  <si>
    <t>水泡壳</t>
  </si>
  <si>
    <t>缩壳：携带的防御技能能耗-2。</t>
  </si>
  <si>
    <t>https://wiki.biligame.com/rocom/%E6%B0%B4%E6%B3%A1%E5%A3%B3%EF%BC%88%E6%9C%AC%E6%9D%A5%E7%9A%84%E6%A0%B7%E5%AD%90%EF%BC%89</t>
  </si>
  <si>
    <t>NO.322</t>
  </si>
  <si>
    <t>月牙雪熊</t>
  </si>
  <si>
    <t>冰/幻</t>
  </si>
  <si>
    <t>月牙雪糕：使用攻击技能时，敌方每层冻结视为1层额外星陨印记。</t>
  </si>
  <si>
    <t>https://wiki.biligame.com/rocom/%E6%9C%88%E7%89%99%E9%9B%AA%E7%86%8A</t>
  </si>
  <si>
    <t>NO.158</t>
  </si>
  <si>
    <t>炽心勇狮</t>
  </si>
  <si>
    <t>火/武</t>
  </si>
  <si>
    <t>圣火骑士：应对成功后，下次攻击威力翻倍。</t>
  </si>
  <si>
    <t>https://wiki.biligame.com/rocom/%E7%82%BD%E5%BF%83%E5%8B%87%E7%8B%AE</t>
  </si>
  <si>
    <t>NO.312</t>
  </si>
  <si>
    <t>疾光千兽</t>
  </si>
  <si>
    <t>月光审判：月光审判</t>
  </si>
  <si>
    <t>https://wiki.biligame.com/rocom/%E7%96%BE%E5%85%89%E5%8D%83%E5%85%BD</t>
  </si>
  <si>
    <t>NO.245</t>
  </si>
  <si>
    <t>琉璃水母</t>
  </si>
  <si>
    <t>水/毒</t>
  </si>
  <si>
    <t>扩散侵蚀：使用水系技能后，敌方获得中毒，获得层数等于中毒印记层数的2倍。</t>
  </si>
  <si>
    <t>https://wiki.biligame.com/rocom/%E7%90%89%E7%92%83%E6%B0%B4%E6%AF%8D</t>
  </si>
  <si>
    <t>NO.184</t>
  </si>
  <si>
    <t>圆号鱼</t>
  </si>
  <si>
    <t>泛音列：使用状态技能后，敌方获得【聒噪】技能的效果，持续3回合。</t>
  </si>
  <si>
    <t>https://wiki.biligame.com/rocom/%E5%9C%86%E5%8F%B7%E9%B1%BC</t>
  </si>
  <si>
    <t>NO.306</t>
  </si>
  <si>
    <t>古卷匣魔像</t>
  </si>
  <si>
    <t>构装契约者：入场时，若敌方魔力值为1，自己获得双防+50%。</t>
  </si>
  <si>
    <t>https://wiki.biligame.com/rocom/%E5%8F%A4%E5%8D%B7%E5%8C%A3%E9%AD%94%E5%83%8F</t>
  </si>
  <si>
    <t>NO.302</t>
  </si>
  <si>
    <t>画间沉铁兽</t>
  </si>
  <si>
    <t>变形活画：攻击时，敌方每有1层增益，本次技能威力+10%。</t>
  </si>
  <si>
    <t>https://wiki.biligame.com/rocom/%E7%94%BB%E9%97%B4%E6%B2%89%E9%93%81%E5%85%BD</t>
  </si>
  <si>
    <t>NO.298</t>
  </si>
  <si>
    <t>食尘短绒</t>
  </si>
  <si>
    <t>虫/地</t>
  </si>
  <si>
    <t>特殊清洁场景：回合结束时偷取敌方1层印记。</t>
  </si>
  <si>
    <t>https://wiki.biligame.com/rocom/%E9%A3%9F%E5%B0%98%E7%9F%AD%E7%BB%92</t>
  </si>
  <si>
    <t>NO.138</t>
  </si>
  <si>
    <t>獠牙猪</t>
  </si>
  <si>
    <t>冰/地</t>
  </si>
  <si>
    <t>冻土：每携带1个冰系技能进入战斗，地系技能威力+10%。</t>
  </si>
  <si>
    <t>https://wiki.biligame.com/rocom/%E7%8D%A0%E7%89%99%E7%8C%AA</t>
  </si>
  <si>
    <t>NO.053</t>
  </si>
  <si>
    <t>嘟嘟锅</t>
  </si>
  <si>
    <t>毒</t>
  </si>
  <si>
    <t>复方汤剂：回合结束时，中毒效果触发次数+1。</t>
  </si>
  <si>
    <t>https://wiki.biligame.com/rocom/%E5%98%9F%E5%98%9F%E9%94%85</t>
  </si>
  <si>
    <t>NO.173</t>
  </si>
  <si>
    <t>嗜波螺</t>
  </si>
  <si>
    <t>地/水</t>
  </si>
  <si>
    <t>消波块：每携带1个水系技能进入战斗，地系技能能耗-1。</t>
  </si>
  <si>
    <t>https://wiki.biligame.com/rocom/%E5%97%9C%E6%B3%A2%E8%9E%BA</t>
  </si>
  <si>
    <t>NO.281</t>
  </si>
  <si>
    <t>混乱鱿彩</t>
  </si>
  <si>
    <t>幽/恶</t>
  </si>
  <si>
    <t>涂鸦：使用非本系技能时威力+50%。</t>
  </si>
  <si>
    <t>https://wiki.biligame.com/rocom/%E6%B7%B7%E4%B9%B1%E9%B1%BF%E5%BD%A9</t>
  </si>
  <si>
    <t>NO.017</t>
  </si>
  <si>
    <t>花影羚羊</t>
  </si>
  <si>
    <t>碰瓷：自己使用恶系技能后，敌方失去2能量。</t>
  </si>
  <si>
    <t>https://wiki.biligame.com/rocom/%E8%8A%B1%E5%BD%B1%E7%BE%9A%E7%BE%8A</t>
  </si>
  <si>
    <t>NO.260</t>
  </si>
  <si>
    <t>乌拉塔</t>
  </si>
  <si>
    <t>恶/火</t>
  </si>
  <si>
    <t>恶魔的晚宴：主动击败敌方精灵时，自己获得双攻+50%。</t>
  </si>
  <si>
    <t>https://wiki.biligame.com/rocom/%E4%B9%8C%E6%8B%89%E5%A1%94%EF%BC%88%E6%9E%81%E6%98%BC%E7%9A%84%E6%A0%B7%E5%AD%90%EF%BC%89</t>
  </si>
  <si>
    <t>NO.305</t>
  </si>
  <si>
    <t>古卷执政官</t>
  </si>
  <si>
    <t>图书守卫者：入场时，若自己魔力值为1，自己获得双攻+50%。</t>
  </si>
  <si>
    <t>https://wiki.biligame.com/rocom/%E5%8F%A4%E5%8D%B7%E6%89%A7%E6%94%BF%E5%AE%98</t>
  </si>
  <si>
    <t>NO.197</t>
  </si>
  <si>
    <t>白发路路</t>
  </si>
  <si>
    <t>草/萌</t>
  </si>
  <si>
    <t>营养液泡：获得增益时，额外获得层数+2。</t>
  </si>
  <si>
    <t>https://wiki.biligame.com/rocom/%E7%99%BD%E5%8F%91%E8%B7%AF%E8%B7%AF</t>
  </si>
  <si>
    <t>NO.176</t>
  </si>
  <si>
    <t>九幽菇</t>
  </si>
  <si>
    <t>多人宿舍：自己的能量可以超过能量上限。</t>
  </si>
  <si>
    <t>https://wiki.biligame.com/rocom/%E4%B9%9D%E5%B9%BD%E8%8F%87</t>
  </si>
  <si>
    <t>NO.316</t>
  </si>
  <si>
    <t>熔岩布丁</t>
  </si>
  <si>
    <t>水/火</t>
  </si>
  <si>
    <t>美拉德反应：离场后，更换入场的精灵获得双攻+20%且免疫灼烧。</t>
  </si>
  <si>
    <t>https://wiki.biligame.com/rocom/%E7%86%94%E5%B2%A9%E5%B8%83%E4%B8%81</t>
  </si>
  <si>
    <t>NO.326</t>
  </si>
  <si>
    <t>燃薪虫</t>
  </si>
  <si>
    <t>火/草</t>
  </si>
  <si>
    <t>煤渣草：在场时，所有灼烧的衰减变为增长。</t>
  </si>
  <si>
    <t>https://wiki.biligame.com/rocom/%E7%87%83%E8%96%AA%E8%99%AB</t>
  </si>
  <si>
    <t>NO.297</t>
  </si>
  <si>
    <t>捕尘长绒</t>
  </si>
  <si>
    <t>扫拖一体：回合结束时驱散敌方1层印记，且驱散后己方队伍获得1次随机奉献。</t>
  </si>
  <si>
    <t>https://wiki.biligame.com/rocom/%E6%8D%95%E5%B0%98%E9%95%BF%E7%BB%92</t>
  </si>
  <si>
    <t>NO.141</t>
  </si>
  <si>
    <t>雪灵</t>
  </si>
  <si>
    <t>冰封：在场时，敌方全技能能耗+1。</t>
  </si>
  <si>
    <t>https://wiki.biligame.com/rocom/%E9%9B%AA%E7%81%B5</t>
  </si>
  <si>
    <t>NO.243</t>
  </si>
  <si>
    <t>闪电鳗鱼</t>
  </si>
  <si>
    <t>电/水</t>
  </si>
  <si>
    <t>生物电：携带的电系技能获得迸发：能耗-2。</t>
  </si>
  <si>
    <t>https://wiki.biligame.com/rocom/%E9%97%AA%E7%94%B5%E9%B3%97%E9%B1%BC</t>
  </si>
  <si>
    <t>NO.223</t>
  </si>
  <si>
    <t>波多西</t>
  </si>
  <si>
    <t>机械/地</t>
  </si>
  <si>
    <t>定向精炼：己方精灵每使用1次防御技能，自己入场时机械系和地面系技能威力+10%。</t>
  </si>
  <si>
    <t>https://wiki.biligame.com/rocom/%E6%B3%A2%E5%A4%9A%E8%A5%BF</t>
  </si>
  <si>
    <t>NO.268</t>
  </si>
  <si>
    <t>绅士鸡</t>
  </si>
  <si>
    <t>指挥家：应对成功后，永久获得双攻+20%。</t>
  </si>
  <si>
    <t>https://wiki.biligame.com/rocom/%E7%BB%85%E5%A3%AB%E9%B8%A1</t>
  </si>
  <si>
    <t>NO.058</t>
  </si>
  <si>
    <t>梦悠悠</t>
  </si>
  <si>
    <t>做噩梦：敌方精灵离场后，更换入场的精灵失去3能量。</t>
  </si>
  <si>
    <t>https://wiki.biligame.com/rocom/%E6%A2%A6%E6%82%A0%E6%82%A0%EF%BC%88%E7%A9%BF%E6%97%A7%E7%9D%A1%E8%A1%A3%E7%9A%84%E6%A0%B7%E5%AD%90%EF%BC%89</t>
  </si>
  <si>
    <t>NO.215</t>
  </si>
  <si>
    <t>恶魔红钻</t>
  </si>
  <si>
    <t>虫/恶</t>
  </si>
  <si>
    <t>振奋虫心：主动击败敌方后，己方队伍获得5次随机奉献。</t>
  </si>
  <si>
    <t>https://wiki.biligame.com/rocom/%E6%81%B6%E9%AD%94%E7%BA%A2%E9%92%BB</t>
  </si>
  <si>
    <t>NO.315</t>
  </si>
  <si>
    <t>椰浆布丁</t>
  </si>
  <si>
    <t>水/冰</t>
  </si>
  <si>
    <t>吉利丁片：离场后，更换入场的精灵获得双防+20%且免疫冻结。</t>
  </si>
  <si>
    <t>https://wiki.biligame.com/rocom/%E6%A4%B0%E6%B5%86%E5%B8%83%E4%B8%81</t>
  </si>
  <si>
    <t>NO.288</t>
  </si>
  <si>
    <t>泥吼牙</t>
  </si>
  <si>
    <t>地/翼</t>
  </si>
  <si>
    <t>无差别过滤：在场时，所有精灵连击数固定为2。</t>
  </si>
  <si>
    <t>https://wiki.biligame.com/rocom/%E6%B3%A5%E5%90%BC%E7%89%99</t>
  </si>
  <si>
    <t>NO.133</t>
  </si>
  <si>
    <t>电企鹅</t>
  </si>
  <si>
    <t>冰/电</t>
  </si>
  <si>
    <t>超负荷：攻击技能获得迸发：敌方获得全技能能耗+1。</t>
  </si>
  <si>
    <t>https://wiki.biligame.com/rocom/%E7%94%B5%E4%BC%81%E9%B9%85</t>
  </si>
  <si>
    <t>NO.161</t>
  </si>
  <si>
    <t>游蛇魔使</t>
  </si>
  <si>
    <t>水/武</t>
  </si>
  <si>
    <t>思维之盾：应对成功后，下次行动技能能耗-5。</t>
  </si>
  <si>
    <t>https://wiki.biligame.com/rocom/%E6%B8%B8%E8%9B%87%E9%AD%94%E4%BD%BF</t>
  </si>
  <si>
    <t>NO.070</t>
  </si>
  <si>
    <t>蒲公英娃娃</t>
  </si>
  <si>
    <t>勇敢：携带的能耗大于3的技能，威力+40%。</t>
  </si>
  <si>
    <t>https://wiki.biligame.com/rocom/%E8%92%B2%E5%85%AC%E8%8B%B1%E5%A8%83%E5%A8%83</t>
  </si>
  <si>
    <t>NO.164</t>
  </si>
  <si>
    <t>怒目怂猫</t>
  </si>
  <si>
    <t>武</t>
  </si>
  <si>
    <t>威慑：打断敌方时，被打断的技能进入2回合冷却。</t>
  </si>
  <si>
    <t>https://wiki.biligame.com/rocom/%E6%80%92%E7%9B%AE%E6%80%82%E7%8C%AB</t>
  </si>
  <si>
    <t>NO.023</t>
  </si>
  <si>
    <t>幻影灵菇</t>
  </si>
  <si>
    <t>幽/草</t>
  </si>
  <si>
    <t>毒蘑菇：回合结束时，偷取敌方场上所有精灵1能量。</t>
  </si>
  <si>
    <t>https://wiki.biligame.com/rocom/%E5%B9%BB%E5%BD%B1%E7%81%B5%E8%8F%87</t>
  </si>
  <si>
    <t>NO.043</t>
  </si>
  <si>
    <t>奇丽花</t>
  </si>
  <si>
    <t>草</t>
  </si>
  <si>
    <t>养分重吸收：回合结束时，回复3能量。</t>
  </si>
  <si>
    <t>https://wiki.biligame.com/rocom/%E5%A5%87%E4%B8%BD%E8%8A%B1</t>
  </si>
  <si>
    <t>NO.107</t>
  </si>
  <si>
    <t>罗隐</t>
  </si>
  <si>
    <t>地/恶</t>
  </si>
  <si>
    <t>石头大餐：能量不足时，消耗5%生命，代替1能量。</t>
  </si>
  <si>
    <t>https://wiki.biligame.com/rocom/%E7%BD%97%E9%9A%90</t>
  </si>
  <si>
    <t>NO.210</t>
  </si>
  <si>
    <t>小箱怪</t>
  </si>
  <si>
    <t>https://wiki.biligame.com/rocom/%E5%B0%8F%E7%AE%B1%E6%80%AA</t>
  </si>
  <si>
    <t>NO.269</t>
  </si>
  <si>
    <t>武者鸡</t>
  </si>
  <si>
    <t>斗技：应对成功后，获得全技能威力永久+20。</t>
  </si>
  <si>
    <t>https://wiki.biligame.com/rocom/%E6%AD%A6%E8%80%85%E9%B8%A1</t>
  </si>
  <si>
    <t>NO.062</t>
  </si>
  <si>
    <t>巨噬针鼹</t>
  </si>
  <si>
    <t>壮胆：队伍存在虫系精灵，自己获得双攻+50%。</t>
  </si>
  <si>
    <t>https://wiki.biligame.com/rocom/%E5%B7%A8%E5%99%AC%E9%92%88%E9%BC%B9</t>
  </si>
  <si>
    <t>NO.098</t>
  </si>
  <si>
    <t>咔咔鸟</t>
  </si>
  <si>
    <t>翼/普通</t>
  </si>
  <si>
    <t>咔咔冲刺：若先于敌方行动，行动后获得连击数+1。</t>
  </si>
  <si>
    <t>https://wiki.biligame.com/rocom/%E5%92%94%E5%92%94%E9%B8%9F</t>
  </si>
  <si>
    <t>NO.115</t>
  </si>
  <si>
    <t>仪式巨像</t>
  </si>
  <si>
    <t>地/幻</t>
  </si>
  <si>
    <t>观星：观星</t>
  </si>
  <si>
    <t>https://wiki.biligame.com/rocom/%E4%BB%AA%E5%BC%8F%E5%B7%A8%E5%83%8F</t>
  </si>
  <si>
    <t>NO.230</t>
  </si>
  <si>
    <t>声波缇塔</t>
  </si>
  <si>
    <t>向心力：1号位和2号位技能获得传动1和威力+30。</t>
  </si>
  <si>
    <t>https://wiki.biligame.com/rocom/%E5%A3%B0%E6%B3%A2%E7%BC%87%E5%A1%94</t>
  </si>
  <si>
    <t>NO.144</t>
  </si>
  <si>
    <t>雪影冰灵</t>
  </si>
  <si>
    <t>冰/萌</t>
  </si>
  <si>
    <t>捉到你了：自己入场时敌方获得2层冻结，使敌方获得冻结时，也会使其获得全技能能耗+2。</t>
  </si>
  <si>
    <t>https://wiki.biligame.com/rocom/%E9%9B%AA%E5%BD%B1%E5%A8%83%E5%A8%83</t>
  </si>
  <si>
    <t>NO.087</t>
  </si>
  <si>
    <t>朔夜伊芙</t>
  </si>
  <si>
    <t>嫁祸：自己每失去25%生命，连击数+2。</t>
  </si>
  <si>
    <t>https://wiki.biligame.com/rocom/%E6%9C%94%E5%A4%9C%E4%BC%8A%E8%8A%99</t>
  </si>
  <si>
    <t>NO.120</t>
  </si>
  <si>
    <t>风滚暮虫</t>
  </si>
  <si>
    <t>普通/虫</t>
  </si>
  <si>
    <t>共鸣：携带的【虫鸣】技能威力+20。</t>
  </si>
  <si>
    <t>https://wiki.biligame.com/rocom/%E9%A3%8E%E6%BB%9A%E6%9A%AE%E8%99%AB%EF%BC%88%E9%87%91%E9%BB%84%E7%9A%84%E6%A0%B7%E5%AD%90%EF%BC%89</t>
  </si>
  <si>
    <t>NO.187</t>
  </si>
  <si>
    <t>卡洛儿</t>
  </si>
  <si>
    <t>水/萌</t>
  </si>
  <si>
    <t>守护者：己方其他精灵每有1层萌化，自己入场时全技能能耗-1。</t>
  </si>
  <si>
    <t>https://wiki.biligame.com/rocom/%E5%8D%A1%E6%B4%9B%E5%84%BF</t>
  </si>
  <si>
    <t>NO.194</t>
  </si>
  <si>
    <t>流浪鼠</t>
  </si>
  <si>
    <t>奔波命：使用防御技能后，回合结束时脱离。</t>
  </si>
  <si>
    <t>https://wiki.biligame.com/rocom/%E6%B5%81%E6%B5%AA%E9%BC%A0</t>
  </si>
  <si>
    <t>NO.104</t>
  </si>
  <si>
    <t>魔眷鸟</t>
  </si>
  <si>
    <t>萌/翼</t>
  </si>
  <si>
    <t>自由飘：自己每有1层萌化，获得连击数+2。</t>
  </si>
  <si>
    <t>https://wiki.biligame.com/rocom/%E9%AD%94%E7%9C%B7%E9%B8%9F</t>
  </si>
  <si>
    <t>NO.048</t>
  </si>
  <si>
    <t>音速犬</t>
  </si>
  <si>
    <t>专注力：入场首回合，获得物攻+100%。</t>
  </si>
  <si>
    <t>https://wiki.biligame.com/rocom/%E9%9F%B3%E9%80%9F%E7%8A%AC</t>
  </si>
  <si>
    <t>NO.081</t>
  </si>
  <si>
    <t>星光狮</t>
  </si>
  <si>
    <t>电</t>
  </si>
  <si>
    <t>电流刺激：携带的攻击技能获得迸发：威力+40。</t>
  </si>
  <si>
    <t>https://wiki.biligame.com/rocom/%E6%98%9F%E5%85%89%E7%8B%AE%EF%BC%88%E6%98%9F%E5%85%89%E8%83%BD%E9%87%8F%E7%9A%84%E6%A0%B7%E5%AD%90%EF%BC%89</t>
  </si>
  <si>
    <t>NO.250</t>
  </si>
  <si>
    <t>炽热猿</t>
  </si>
  <si>
    <t>https://wiki.biligame.com/rocom/%E7%82%BD%E7%83%AD%E7%8C%BF</t>
  </si>
  <si>
    <t>NO.020</t>
  </si>
  <si>
    <t>岚鸟</t>
  </si>
  <si>
    <t>顺风：若先于敌方攻击，本次技能威力+50%。</t>
  </si>
  <si>
    <t>https://wiki.biligame.com/rocom/%E5%B2%9A%E9%B8%9F%EF%BC%88%E6%9C%AC%E6%9D%A5%E7%9A%84%E6%A0%B7%E5%AD%90%EF%BC%89</t>
  </si>
  <si>
    <t>NO.314</t>
  </si>
  <si>
    <t>抹茶布丁</t>
  </si>
  <si>
    <t>水/草</t>
  </si>
  <si>
    <t>茶多酚：离场后，更换入场的精灵回复20%生命且免疫寄生。</t>
  </si>
  <si>
    <t>https://wiki.biligame.com/rocom/%E6%8A%B9%E8%8C%B6%E5%B8%83%E4%B8%81</t>
  </si>
  <si>
    <t>NO.135</t>
  </si>
  <si>
    <t>雪蛮人</t>
  </si>
  <si>
    <t>https://wiki.biligame.com/rocom/%E9%9B%AA%E8%9B%AE%E4%BA%BA</t>
  </si>
  <si>
    <t>NO.238</t>
  </si>
  <si>
    <t>月亮砣</t>
  </si>
  <si>
    <t>毒/萌</t>
  </si>
  <si>
    <t>耐活王：敌方受到中毒效果伤害时，自己回复等量生命。</t>
  </si>
  <si>
    <t>https://wiki.biligame.com/rocom/%E6%9C%88%E4%BA%AE%E7%A0%A3%EF%BC%88%E4%B8%8A%E5%BC%A6%E7%9A%84%E6%A0%B7%E5%AD%90%EF%BC%89</t>
  </si>
  <si>
    <t>NO.279</t>
  </si>
  <si>
    <t>遁地鼠</t>
  </si>
  <si>
    <t>警惕：回合结束时，若自己能量为0则脱离。</t>
  </si>
  <si>
    <t>https://wiki.biligame.com/rocom/%E9%81%81%E5%9C%B0%E9%BC%A0%EF%BC%88%E6%9E%AF%E6%B0%B4%E6%9C%9F%E7%9A%84%E6%A0%B7%E5%AD%90%EF%BC%89</t>
  </si>
  <si>
    <t>NO.124</t>
  </si>
  <si>
    <t>影狸</t>
  </si>
  <si>
    <t>幽/毒</t>
  </si>
  <si>
    <t>下黑手：敌方精灵离场后，更换入场的精灵获得5层中毒。</t>
  </si>
  <si>
    <t>https://wiki.biligame.com/rocom/%E5%BD%B1%E7%8B%B8</t>
  </si>
  <si>
    <t>NO.095</t>
  </si>
  <si>
    <t>记忆石</t>
  </si>
  <si>
    <t>不移：携带的无额外效果的攻击技能，威力+30%。</t>
  </si>
  <si>
    <t>https://wiki.biligame.com/rocom/%E8%AE%B0%E5%BF%86%E7%9F%B3</t>
  </si>
  <si>
    <t>NO.339</t>
  </si>
  <si>
    <t>上岸蛙</t>
  </si>
  <si>
    <t>张弛有度：周末时自己获得双攻+40%，其他时间获得双防+40%。</t>
  </si>
  <si>
    <t>https://wiki.biligame.com/rocom/%E4%B8%8A%E5%B2%B8%E8%9B%99</t>
  </si>
  <si>
    <t>NO.131</t>
  </si>
  <si>
    <t>恶魔狼王</t>
  </si>
  <si>
    <t>悼亡：双方队伍中每有1只力竭的精灵，自己获得双攻+30%。</t>
  </si>
  <si>
    <t>https://wiki.biligame.com/rocom/%E6%81%B6%E9%AD%94%E7%8B%BC</t>
  </si>
  <si>
    <t>NO.272</t>
  </si>
  <si>
    <t>噼啪鸟</t>
  </si>
  <si>
    <t>电/翼</t>
  </si>
  <si>
    <t>连续负荷：自己技能的迸发效果延长1回合。</t>
  </si>
  <si>
    <t>https://wiki.biligame.com/rocom/%E5%99%BC%E5%95%AA%E9%B8%9F</t>
  </si>
  <si>
    <t>NO.028</t>
  </si>
  <si>
    <t>布是岩</t>
  </si>
  <si>
    <t>https://wiki.biligame.com/rocom/%E5%B8%83%E6%98%AF%E5%B2%A9</t>
  </si>
  <si>
    <t>NO.178</t>
  </si>
  <si>
    <t>斑枭</t>
  </si>
  <si>
    <t>逐魂鸟：能耗小于等于1的攻击技能，无法对自己造成伤害。</t>
  </si>
  <si>
    <t>https://wiki.biligame.com/rocom/%E6%96%91%E6%9E%AD</t>
  </si>
  <si>
    <t>NO.078</t>
  </si>
  <si>
    <t>千棘盔</t>
  </si>
  <si>
    <t>溶解扩散：每携带1个毒系技能进入战斗，水系技能使敌方获得1层中毒。</t>
  </si>
  <si>
    <t>https://wiki.biligame.com/rocom/%E5%8D%83%E6%A3%98%E7%9B%94%EF%BC%88%E6%9C%AC%E6%9D%A5%E7%9A%84%E6%A0%B7%E5%AD%90%EF%BC%89</t>
  </si>
  <si>
    <t>NO.127</t>
  </si>
  <si>
    <t>古啦多</t>
  </si>
  <si>
    <t>毒/地</t>
  </si>
  <si>
    <t>毒牙：使敌方获得中毒时，也会使其获得魔攻和魔防-40%。</t>
  </si>
  <si>
    <t>https://wiki.biligame.com/rocom/%E5%8F%A4%E5%95%A6%E5%A4%9A</t>
  </si>
  <si>
    <t>NO.001</t>
  </si>
  <si>
    <t>迪莫</t>
  </si>
  <si>
    <t>最好的伙伴：造成克制伤害后，获得攻防速+20%，并回复2能量。</t>
  </si>
  <si>
    <t>https://wiki.biligame.com/rocom/%E8%BF%AA%E8%8E%AB</t>
  </si>
  <si>
    <t>NO.110</t>
  </si>
  <si>
    <t>彩蝶鲨</t>
  </si>
  <si>
    <t>水/翼</t>
  </si>
  <si>
    <t>水翼推进：己方精灵每使用1次水系技能，自己入场时获得全技能能耗-1。</t>
  </si>
  <si>
    <t>https://wiki.biligame.com/rocom/%E5%BD%A9%E8%9D%B6%E9%B2%A8</t>
  </si>
  <si>
    <t>NO.290</t>
  </si>
  <si>
    <t>寂灭骨龙</t>
  </si>
  <si>
    <t>龙/幽</t>
  </si>
  <si>
    <t>不朽：力竭3回合后复活。</t>
  </si>
  <si>
    <t>https://wiki.biligame.com/rocom/%E5%AF%82%E7%81%AD%E9%AA%A8%E9%BE%99</t>
  </si>
  <si>
    <t>NO.236</t>
  </si>
  <si>
    <t>圣代甜甜</t>
  </si>
  <si>
    <t>加个雪球：使敌方获得冻结时，也会使其获得2层冻结。</t>
  </si>
  <si>
    <t>https://wiki.biligame.com/rocom/%E5%9C%A3%E4%BB%A3%E7%94%9C%E7%94%9C</t>
  </si>
  <si>
    <t>NO.167</t>
  </si>
  <si>
    <t>皇家狮鹫</t>
  </si>
  <si>
    <t>乘风连击：使用翼系技能后，获得连击数+1。</t>
  </si>
  <si>
    <t>https://wiki.biligame.com/rocom/%E7%9A%87%E5%AE%B6%E7%8B%AE%E9%B9%AB%EF%BC%88%E5%B4%96%E9%97%B4%E5%9C%B0%E7%9A%84%E6%A0%B7%E5%AD%90%EF%BC%89</t>
  </si>
  <si>
    <t>NO.038</t>
  </si>
  <si>
    <t>卷胡巨獭</t>
  </si>
  <si>
    <t>普通/水</t>
  </si>
  <si>
    <t>保守派：总技能能耗小于4时，自己获得双防+80%。</t>
  </si>
  <si>
    <t>https://wiki.biligame.com/rocom/%E5%8D%B7%E8%83%A1%E5%B7%A8%E7%8D%AD</t>
  </si>
  <si>
    <t>NO.309</t>
  </si>
  <si>
    <t>绒仙子</t>
  </si>
  <si>
    <t>光/虫</t>
  </si>
  <si>
    <t>绒粉星光：绒粉星光</t>
  </si>
  <si>
    <t>https://wiki.biligame.com/rocom/%E7%BB%92%E4%BB%99%E5%AD%90</t>
  </si>
  <si>
    <t>NO.228</t>
  </si>
  <si>
    <t>爵士鹿</t>
  </si>
  <si>
    <t>蓄电池：每入场1次，永久获得双攻+20%。</t>
  </si>
  <si>
    <t>https://wiki.biligame.com/rocom/%E7%88%B5%E5%A3%AB%E9%B9%BF</t>
  </si>
  <si>
    <t>NO.189</t>
  </si>
  <si>
    <t>棋骑士</t>
  </si>
  <si>
    <t>武/地</t>
  </si>
  <si>
    <t>腾挪：攻击技能应对1次后，回满状态，变为棋绮后。</t>
  </si>
  <si>
    <t>https://wiki.biligame.com/rocom/%E6%A3%8B%E9%AA%91%E5%A3%AB%EF%BC%88%E7%99%BD%E5%AD%90%EF%BC%89</t>
  </si>
  <si>
    <t>NO.347</t>
  </si>
  <si>
    <t>暮星辰</t>
  </si>
  <si>
    <t>幻/翼</t>
  </si>
  <si>
    <t>守望星：触发星陨时消耗一半层数，仍造成满层伤害。</t>
  </si>
  <si>
    <t>https://wiki.biligame.com/rocom/%E6%9A%AE%E6%98%9F%E8%BE%B0</t>
  </si>
  <si>
    <t>NO.074</t>
  </si>
  <si>
    <t>动力猿</t>
  </si>
  <si>
    <t>https://wiki.biligame.com/rocom/%E5%8A%A8%E5%8A%9B%E7%8C%BF</t>
  </si>
  <si>
    <t>NO.149</t>
  </si>
  <si>
    <t>尖嘴狐仙</t>
  </si>
  <si>
    <t>火/冰</t>
  </si>
  <si>
    <t>灵魂灼伤：冰系技能使敌方获得4层灼烧，火系技能使敌方获得2层冻结。</t>
  </si>
  <si>
    <t>https://wiki.biligame.com/rocom/%E5%B0%96%E5%98%B4%E7%8B%90%E4%BB%99</t>
  </si>
  <si>
    <t>NO.182</t>
  </si>
  <si>
    <t>海豹船长</t>
  </si>
  <si>
    <t>武/水</t>
  </si>
  <si>
    <t>身经百练：己方精灵每应对1次，自己入场时水系和武系技能威力+20%。</t>
  </si>
  <si>
    <t>https://wiki.biligame.com/rocom/%E6%B5%B7%E8%B1%B9%E8%88%B9%E9%95%BF</t>
  </si>
  <si>
    <t>NO.324</t>
  </si>
  <si>
    <t>窃光蚊</t>
  </si>
  <si>
    <t>恶/光</t>
  </si>
  <si>
    <t>血型吸引：敌方每携带1种系别的技能，自己攻击时威力+10。</t>
  </si>
  <si>
    <t>https://wiki.biligame.com/rocom/%E7%AA%83%E5%85%89%E8%9A%8A</t>
  </si>
  <si>
    <t>NO.040</t>
  </si>
  <si>
    <t>晶石蜗</t>
  </si>
  <si>
    <t>光/地</t>
  </si>
  <si>
    <t>偏振：受到自己携带技能系别的攻击伤害-40%。</t>
  </si>
  <si>
    <t>https://wiki.biligame.com/rocom/%E6%99%B6%E7%9F%B3%E8%9C%97%EF%BC%88%E8%A5%BF%E7%93%9C%E7%A2%A7%E7%8E%BA%E7%9A%84%E6%A0%B7%E5%AD%90%EF%BC%89</t>
  </si>
  <si>
    <t>NO.112</t>
  </si>
  <si>
    <t>巨灵石</t>
  </si>
  <si>
    <t>地/幽</t>
  </si>
  <si>
    <t>石天平：若使用技能能耗高于敌方，回合结束敌方失去能耗之差的能量。</t>
  </si>
  <si>
    <t>https://wiki.biligame.com/rocom/%E5%B7%A8%E7%81%B5%E7%9F%B3</t>
  </si>
  <si>
    <t>NO.276</t>
  </si>
  <si>
    <t>格兰球</t>
  </si>
  <si>
    <t>生长：回合结束时，回复12%生命。</t>
  </si>
  <si>
    <t>https://wiki.biligame.com/rocom/%E6%A0%BC%E5%85%B0%E7%90%83</t>
  </si>
  <si>
    <t>NO.284</t>
  </si>
  <si>
    <t>铠甲虫</t>
  </si>
  <si>
    <t>虫</t>
  </si>
  <si>
    <t>坚韧铠甲：每受到1次攻击伤害，己方队伍获得1次随机奉献。</t>
  </si>
  <si>
    <t>https://wiki.biligame.com/rocom/%E9%93%A0%E7%94%B2%E8%99%AB</t>
  </si>
  <si>
    <t>NO.026</t>
  </si>
  <si>
    <t>石冠王蜥</t>
  </si>
  <si>
    <t>刺肤：每受到1次攻击，对攻击自己的精灵造成50威力物理伤害。</t>
  </si>
  <si>
    <t>https://wiki.biligame.com/rocom/%E7%9F%B3%E5%86%A0%E7%8E%8B%E8%9C%A5%EF%BC%88%E6%9C%AC%E6%9D%A5%E7%9A%84%E6%A0%B7%E5%AD%90%EF%BC%89</t>
  </si>
  <si>
    <t>NO.206</t>
  </si>
  <si>
    <t>酷拉</t>
  </si>
  <si>
    <t>噼啪！：噼啪！</t>
  </si>
  <si>
    <t>https://wiki.biligame.com/rocom/%E9%85%B7%E6%8B%89</t>
  </si>
  <si>
    <t>NO.225</t>
  </si>
  <si>
    <t>翼龙</t>
  </si>
  <si>
    <t>龙/翼</t>
  </si>
  <si>
    <t>暴食：携带的龙系技能获得迅捷。</t>
  </si>
  <si>
    <t>https://wiki.biligame.com/rocom/%E7%BF%BC%E9%BE%99</t>
  </si>
  <si>
    <t>NO.031</t>
  </si>
  <si>
    <t>叮叮恶魔</t>
  </si>
  <si>
    <t>恶/翼</t>
  </si>
  <si>
    <t>渴求：入场时获得50%吸血。</t>
  </si>
  <si>
    <t>https://wiki.biligame.com/rocom/%E5%8F%AE%E5%8F%AE%E6%81%B6%E9%AD%94</t>
  </si>
  <si>
    <t>NO.218</t>
  </si>
  <si>
    <t>烈火守护</t>
  </si>
  <si>
    <t>蒸汽膨胀：己方精灵每使用1次火系技能，自己入场时获得全技能威力+10。</t>
  </si>
  <si>
    <t>https://wiki.biligame.com/rocom/%E7%83%88%E7%81%AB%E5%AE%88%E6%8A%A4</t>
  </si>
  <si>
    <t>NO.213</t>
  </si>
  <si>
    <t>寒音蛇</t>
  </si>
  <si>
    <t>萌/毒</t>
  </si>
  <si>
    <t>拨浪鼓：己方精灵每使用1次状态技能，自己入场时毒系和萌系技能威力+10。</t>
  </si>
  <si>
    <t>https://wiki.biligame.com/rocom/%E5%AF%92%E9%9F%B3%E8%9B%87%EF%BC%88%E6%9C%AC%E6%9D%A5%E7%9A%84%E6%A0%B7%E5%AD%90%EF%BC%89</t>
  </si>
  <si>
    <t>NO.072</t>
  </si>
  <si>
    <t>伊贝粉粉</t>
  </si>
  <si>
    <t>腐植循环：每回复1能量，同时回复5%生命。</t>
  </si>
  <si>
    <t>https://wiki.biligame.com/rocom/%E4%BC%8A%E8%B4%9D%E7%B2%89%E7%B2%89</t>
  </si>
  <si>
    <t>NO.051</t>
  </si>
  <si>
    <t>蹦床松鼠</t>
  </si>
  <si>
    <t>囤积：每有1能量，获得双防+10%。</t>
  </si>
  <si>
    <t>https://wiki.biligame.com/rocom/%E8%B9%A6%E5%BA%8A%E6%9D%BE%E9%BC%A0</t>
  </si>
  <si>
    <t>NO.209</t>
  </si>
  <si>
    <t>荆棘电环</t>
  </si>
  <si>
    <t>防过载保护：每次行动后脱离。</t>
  </si>
  <si>
    <t>https://wiki.biligame.com/rocom/%E8%8D%86%E6%A3%98%E7%94%B5%E7%8E%AF</t>
  </si>
  <si>
    <t>NO.035</t>
  </si>
  <si>
    <t>幽影树</t>
  </si>
  <si>
    <t>小偷小摸：入场时偷取所有敌方精灵2能量。</t>
  </si>
  <si>
    <t>https://wiki.biligame.com/rocom/%E5%B9%BD%E5%BD%B1%E6%A0%91</t>
  </si>
  <si>
    <t>NO.180</t>
  </si>
  <si>
    <t>卷毛鸭</t>
  </si>
  <si>
    <t>得寸进尺：天气为雨天，或处于其他水系环境中时，获得双攻+100%。</t>
  </si>
  <si>
    <t>https://wiki.biligame.com/rocom/%E5%8D%B7%E6%AF%9B%E9%B8%AD</t>
  </si>
  <si>
    <t>NO.079</t>
  </si>
  <si>
    <t>菊花梨</t>
  </si>
  <si>
    <t>无忧无虑：可获得的萌化层数不受限制。</t>
  </si>
  <si>
    <t>https://wiki.biligame.com/rocom/%E8%8F%8A%E8%8A%B1%E6%A2%A8</t>
  </si>
  <si>
    <t>NO.292</t>
  </si>
  <si>
    <t>厉毒修萝</t>
  </si>
  <si>
    <t>毒/恶</t>
  </si>
  <si>
    <t>侵蚀：敌方每有1层中毒效果，自己获得连击数+1。</t>
  </si>
  <si>
    <t>https://wiki.biligame.com/rocom/%E5%8E%89%E6%AF%92%E4%BF%AE%E8%90%9D</t>
  </si>
  <si>
    <t>NO.065</t>
  </si>
  <si>
    <t>蹦蹦花</t>
  </si>
  <si>
    <t>草/毒</t>
  </si>
  <si>
    <t>生物碱：使用草系技能时，敌方获得2层中毒。</t>
  </si>
  <si>
    <t>https://wiki.biligame.com/rocom/%E8%B9%A6%E8%B9%A6%E8%8A%B1%EF%BC%88%E6%B5%B7%E7%A5%9E%E7%90%83%E5%BD%A2%E6%80%81%EF%BC%89</t>
  </si>
  <si>
    <t>NO.101</t>
  </si>
  <si>
    <t>花衣蝶</t>
  </si>
  <si>
    <t>虫/草</t>
  </si>
  <si>
    <t>花精灵：回合结束时，己方队伍获得1次随机奉献。</t>
  </si>
  <si>
    <t>https://wiki.biligame.com/rocom/%E8%8A%B1%E8%A1%A3%E8%9D%B6</t>
  </si>
  <si>
    <t>NO.344</t>
  </si>
  <si>
    <t>春花兔</t>
  </si>
  <si>
    <t>系统发育：获得能量或生命时，会将等量的能量或生命随机分配给场下的精灵。</t>
  </si>
  <si>
    <t>https://wiki.biligame.com/rocom/%E6%98%A5%E8%8A%B1%E5%85%94</t>
  </si>
  <si>
    <t>NO.233</t>
  </si>
  <si>
    <t>高脚鹬</t>
  </si>
  <si>
    <t>起飞加速：本场战斗首次使用的技能获得迅捷。</t>
  </si>
  <si>
    <t>https://wiki.biligame.com/rocom/%E9%AB%98%E8%84%9A%E9%B9%AC</t>
  </si>
  <si>
    <t>NO.068</t>
  </si>
  <si>
    <t>电球咩咩</t>
  </si>
  <si>
    <t>快充：离场时回复10能量。</t>
  </si>
  <si>
    <t>https://wiki.biligame.com/rocom/%E7%94%B5%E7%90%83%E5%92%A9%E5%92%A9</t>
  </si>
  <si>
    <t>NO.254</t>
  </si>
  <si>
    <t>冰钻布鲁斯</t>
  </si>
  <si>
    <t>冰钻：敌方携带技能总能耗每有1点，自己攻击时威力+10%。</t>
  </si>
  <si>
    <t>https://wiki.biligame.com/rocom/%E5%86%B0%E9%92%BB%E5%B8%83%E9%B2%81%E6%96%AF</t>
  </si>
  <si>
    <t>NO.294</t>
  </si>
  <si>
    <t>帕尔萨斯</t>
  </si>
  <si>
    <t>https://wiki.biligame.com/rocom/%E5%B8%95%E5%B0%94%E8%90%A8%E6%96%AF</t>
  </si>
  <si>
    <t>NO.154</t>
  </si>
  <si>
    <t>松叶羊</t>
  </si>
  <si>
    <t>https://wiki.biligame.com/rocom/%E6%9D%BE%E5%8F%B6%E7%BE%8A</t>
  </si>
  <si>
    <t>NO.262</t>
  </si>
  <si>
    <t>帕帕斯卡</t>
  </si>
  <si>
    <t>机械/翼</t>
  </si>
  <si>
    <t>翼轴：1号位技能获得迅捷和传动1。</t>
  </si>
  <si>
    <t>https://wiki.biligame.com/rocom/%E5%B8%95%E5%B8%95%E6%96%AF%E5%8D%A1</t>
  </si>
  <si>
    <t>NO.341</t>
  </si>
  <si>
    <t>雅丹鬃</t>
  </si>
  <si>
    <t>天通地明：攻击时，若敌方血脉是污染血脉，技能威力+100%。</t>
  </si>
  <si>
    <t>https://wiki.biligame.com/rocom/%E9%9B%85%E4%B8%B9%E9%AC%83</t>
  </si>
  <si>
    <t>NO.151</t>
  </si>
  <si>
    <t>灵羽勇士</t>
  </si>
  <si>
    <t>https://wiki.biligame.com/rocom/%E7%81%B5%E7%BE%BD%E5%8B%87%E5%A3%AB</t>
  </si>
  <si>
    <t>NO.191</t>
  </si>
  <si>
    <t>棋祈督</t>
  </si>
  <si>
    <t>好象坏象：状态技能应对1次后，回满状态，变为棋绮后。</t>
  </si>
  <si>
    <t>https://wiki.biligame.com/rocom/%E6%A3%8B%E7%A5%88%E7%9D%A3%EF%BC%88%E7%99%BD%E5%AD%90%EF%BC%89</t>
  </si>
  <si>
    <t>NO.089</t>
  </si>
  <si>
    <t>蓝珠天鹅</t>
  </si>
  <si>
    <t>https://wiki.biligame.com/rocom/%E8%93%9D%E7%8F%A0%E5%A4%A9%E9%B9%85</t>
  </si>
  <si>
    <t>NO.121</t>
  </si>
  <si>
    <t>小黑猫</t>
  </si>
  <si>
    <t>https://wiki.biligame.com/rocom/%E5%B0%8F%E9%BB%91%E7%8C%AB</t>
  </si>
  <si>
    <t>NO.340</t>
  </si>
  <si>
    <t>火红尾</t>
  </si>
  <si>
    <t>https://wiki.biligame.com/rocom/%E7%81%AB%E7%BA%A2%E5%B0%BE</t>
  </si>
  <si>
    <t>NO.329</t>
  </si>
  <si>
    <t>夜枭</t>
  </si>
  <si>
    <t>搜刮：敌方每使用1次【聚能】技能或更换精灵，自己入场时获得魔攻+20%。</t>
  </si>
  <si>
    <t>https://wiki.biligame.com/rocom/%E5%A4%9C%E6%9E%AD</t>
  </si>
  <si>
    <t>NO.300</t>
  </si>
  <si>
    <t>画像守护</t>
  </si>
  <si>
    <t>https://wiki.biligame.com/rocom/%E7%94%BB%E5%83%8F%E5%AE%88%E6%8A%A4</t>
  </si>
  <si>
    <t>NO.333</t>
  </si>
  <si>
    <t>贝加尔</t>
  </si>
  <si>
    <t>https://wiki.biligame.com/rocom/%E8%B4%9D%E5%8A%A0%E5%B0%94</t>
  </si>
  <si>
    <t>NO.009</t>
  </si>
  <si>
    <t>波波拉</t>
  </si>
  <si>
    <t>https://wiki.biligame.com/rocom/%E6%B3%A2%E6%B3%A2%E6%8B%89</t>
  </si>
  <si>
    <t>NO.190</t>
  </si>
  <si>
    <t>棋齐垒</t>
  </si>
  <si>
    <t>保卫：防御技能应对2次后，回满状态，变为棋绮后。</t>
  </si>
  <si>
    <t>https://wiki.biligame.com/rocom/%E6%A3%8B%E9%BD%90%E5%9E%92%EF%BC%88%E7%99%BD%E5%AD%90%EF%BC%89</t>
  </si>
  <si>
    <t>NO.335</t>
  </si>
  <si>
    <t>粉星仔</t>
  </si>
  <si>
    <t>https://wiki.biligame.com/rocom/%E7%B2%89%E6%98%9F%E4%BB%94</t>
  </si>
  <si>
    <t>NO.270</t>
  </si>
  <si>
    <t>优优</t>
  </si>
  <si>
    <t>https://wiki.biligame.com/rocom/%E4%BC%98%E4%BC%98</t>
  </si>
  <si>
    <t>NO.004</t>
  </si>
  <si>
    <t>魔力猫</t>
  </si>
  <si>
    <t>氧循环：使用草系技能后，回复10%生命。</t>
  </si>
  <si>
    <t>https://wiki.biligame.com/rocom/%E9%AD%94%E5%8A%9B%E7%8C%AB</t>
  </si>
  <si>
    <t>NO.055</t>
  </si>
  <si>
    <t>暗影灵面</t>
  </si>
  <si>
    <t>https://wiki.biligame.com/rocom/%E6%9A%97%E5%BD%B1%E7%81%B5%E9%9D%A2%EF%BC%88%E7%9D%81%E7%9C%BC%E7%9A%84%E6%A0%B7%E5%AD%90%EF%BC%89</t>
  </si>
  <si>
    <t>NO.203</t>
  </si>
  <si>
    <t>伊雷龙</t>
  </si>
  <si>
    <t>https://wiki.biligame.com/rocom/%E4%BC%8A%E9%9B%B7%E9%BE%99</t>
  </si>
  <si>
    <t>NO.320</t>
  </si>
  <si>
    <t>双灯鱼</t>
  </si>
  <si>
    <t>https://wiki.biligame.com/rocom/%E5%8F%8C%E7%81%AF%E9%B1%BC</t>
  </si>
  <si>
    <t>NO.092</t>
  </si>
  <si>
    <t>锤头鹳</t>
  </si>
  <si>
    <t>快锤：携带的能耗小于3的技能，获得迅捷。</t>
  </si>
  <si>
    <t>https://wiki.biligame.com/rocom/%E9%94%A4%E5%A4%B4%E9%B9%B3</t>
  </si>
  <si>
    <t>NO.170</t>
  </si>
  <si>
    <t>芋香巨角蛛</t>
  </si>
  <si>
    <t>虫/毒</t>
  </si>
  <si>
    <t>毒腺：使用能耗小于等于1的技能时，敌方获得4层中毒。</t>
  </si>
  <si>
    <t>https://wiki.biligame.com/rocom/%E8%8A%8B%E9%A6%99%E5%B7%A8%E8%A7%92%E8%9B%9B</t>
  </si>
  <si>
    <t>NO.145</t>
  </si>
  <si>
    <t>权杖-Ⅱ</t>
  </si>
  <si>
    <t>https://wiki.biligame.com/rocom/%E6%9D%83%E6%9D%96-%E2%85%A1</t>
  </si>
  <si>
    <t>NO.256</t>
  </si>
  <si>
    <t>红丝绒</t>
  </si>
  <si>
    <t>https://wiki.biligame.com/rocom/%E7%BA%A2%E4%B8%9D%E7%BB%92</t>
  </si>
  <si>
    <t>NO.330</t>
  </si>
  <si>
    <t>粉粉星</t>
  </si>
  <si>
    <t>https://wiki.biligame.com/rocom/%E7%B2%89%E7%B2%89%E6%98%9F</t>
  </si>
  <si>
    <t>NO.006</t>
  </si>
  <si>
    <t>焰火</t>
  </si>
  <si>
    <t>助燃：使用火系技能后，获得双攻+20%。</t>
  </si>
  <si>
    <t>https://wiki.biligame.com/rocom/%E7%84%B0%E7%81%AB</t>
  </si>
  <si>
    <t>NO.240</t>
  </si>
  <si>
    <t>快鳍鱼</t>
  </si>
  <si>
    <t>https://wiki.biligame.com/rocom/%E5%BF%AB%E9%B3%8D%E9%B1%BC</t>
  </si>
  <si>
    <t>NO.264</t>
  </si>
  <si>
    <t>多彩方方</t>
  </si>
  <si>
    <t>https://wiki.biligame.com/rocom/%E5%A4%9A%E5%BD%A9%E6%96%B9%E6%96%B9</t>
  </si>
  <si>
    <t>NO.013</t>
  </si>
  <si>
    <t>咔咔壳</t>
  </si>
  <si>
    <t>https://wiki.biligame.com/rocom/%E5%92%94%E5%92%94%E5%A3%B3%EF%BC%88%E6%9C%AC%E6%9D%A5%E7%9A%84%E6%A0%B7%E5%AD%90%EF%BC%89</t>
  </si>
  <si>
    <t>NO.093</t>
  </si>
  <si>
    <t>绿草精灵</t>
  </si>
  <si>
    <t>https://wiki.biligame.com/rocom/%E7%BB%BF%E8%8D%89%E7%B2%BE%E7%81%B5</t>
  </si>
  <si>
    <t>NO.157</t>
  </si>
  <si>
    <t>炽焰狮</t>
  </si>
  <si>
    <t>https://wiki.biligame.com/rocom/%E7%82%BD%E7%84%B0%E7%8B%AE</t>
  </si>
  <si>
    <t>NO.248</t>
  </si>
  <si>
    <t>裘卡</t>
  </si>
  <si>
    <t>蚀刻：回合结束时，敌方每2层中毒转化为1层中毒印记。</t>
  </si>
  <si>
    <t>https://wiki.biligame.com/rocom/%E8%A3%98%E5%8D%A1</t>
  </si>
  <si>
    <t>NO.244</t>
  </si>
  <si>
    <t>翡翠水母</t>
  </si>
  <si>
    <t>https://wiki.biligame.com/rocom/%E7%BF%A1%E7%BF%A0%E6%B0%B4%E6%AF%8D</t>
  </si>
  <si>
    <t>NO.011</t>
  </si>
  <si>
    <t>鸭吉吉</t>
  </si>
  <si>
    <t>挺起胸脯：携带的能耗为1的技能，威力+50%。</t>
  </si>
  <si>
    <t>https://wiki.biligame.com/rocom/%E9%B8%AD%E5%90%89%E5%90%89%EF%BC%88%E8%93%AC%E6%9D%BE%E7%9A%84%E6%A0%B7%E5%AD%90%EF%BC%89</t>
  </si>
  <si>
    <t>NO.311</t>
  </si>
  <si>
    <t>光纤兽</t>
  </si>
  <si>
    <t>https://wiki.biligame.com/rocom/%E5%85%89%E7%BA%A4%E5%85%BD</t>
  </si>
  <si>
    <t>NO.059</t>
  </si>
  <si>
    <t>兽花蕾</t>
  </si>
  <si>
    <t>光/草</t>
  </si>
  <si>
    <t>稀兽花宝：根据自己的血脉，入场时获得不同效果。</t>
  </si>
  <si>
    <t>https://wiki.biligame.com/rocom/%E5%85%BD%E8%8A%B1%E8%95%BE</t>
  </si>
  <si>
    <t>NO.183</t>
  </si>
  <si>
    <t>号儿鱼</t>
  </si>
  <si>
    <t>https://wiki.biligame.com/rocom/%E5%8F%B7%E5%84%BF%E9%B1%BC</t>
  </si>
  <si>
    <t>NO.319</t>
  </si>
  <si>
    <t>陨星虫</t>
  </si>
  <si>
    <t>契约的形状：根据捕捉所用的咕噜球，入场时获得不同效果。</t>
  </si>
  <si>
    <t>https://wiki.biligame.com/rocom/%E9%99%A8%E6%98%9F%E8%99%AB</t>
  </si>
  <si>
    <t>NO.052</t>
  </si>
  <si>
    <t>嘟嘟煲</t>
  </si>
  <si>
    <t>https://wiki.biligame.com/rocom/%E5%98%9F%E5%98%9F%E7%85%B2</t>
  </si>
  <si>
    <t>NO.137</t>
  </si>
  <si>
    <t>呼呼猪</t>
  </si>
  <si>
    <t>https://wiki.biligame.com/rocom/%E5%91%BC%E5%91%BC%E7%8C%AA</t>
  </si>
  <si>
    <t>NO.116</t>
  </si>
  <si>
    <t>小独角兽</t>
  </si>
  <si>
    <t>目空：携带的非光系技能，威力+25%。</t>
  </si>
  <si>
    <t>https://wiki.biligame.com/rocom/%E5%B0%8F%E7%8B%AC%E8%A7%92%E5%85%BD</t>
  </si>
  <si>
    <t>NO.280</t>
  </si>
  <si>
    <t>墨鱿士</t>
  </si>
  <si>
    <t>https://wiki.biligame.com/rocom/%E5%A2%A8%E9%B1%BF%E5%A3%AB</t>
  </si>
  <si>
    <t>NO.172</t>
  </si>
  <si>
    <t>消波螺</t>
  </si>
  <si>
    <t>https://wiki.biligame.com/rocom/%E6%B6%88%E6%B3%A2%E8%9E%BA</t>
  </si>
  <si>
    <t>NO.304</t>
  </si>
  <si>
    <t>书卷守护</t>
  </si>
  <si>
    <t>https://wiki.biligame.com/rocom/%E4%B9%A6%E5%8D%B7%E5%AE%88%E6%8A%A4</t>
  </si>
  <si>
    <t>NO.196</t>
  </si>
  <si>
    <t>舞动路路</t>
  </si>
  <si>
    <t>https://wiki.biligame.com/rocom/%E8%88%9E%E5%8A%A8%E8%B7%AF%E8%B7%AF</t>
  </si>
  <si>
    <t>NO.016</t>
  </si>
  <si>
    <t>铃兰羊</t>
  </si>
  <si>
    <t>https://wiki.biligame.com/rocom/%E9%93%83%E5%85%B0%E7%BE%8A</t>
  </si>
  <si>
    <t>NO.046</t>
  </si>
  <si>
    <t>卡瓦重</t>
  </si>
  <si>
    <t>诈死：自己力竭时，少损失1点魔力。</t>
  </si>
  <si>
    <t>https://wiki.biligame.com/rocom/%E5%8D%A1%E7%93%A6%E9%87%8D%EF%BC%88%E8%8D%89%E5%9C%B0%E9%99%84%E8%BF%91%E7%9A%84%E6%A0%B7%E5%AD%90%EF%BC%89</t>
  </si>
  <si>
    <t>NO.259</t>
  </si>
  <si>
    <t>迷你乌</t>
  </si>
  <si>
    <t>https://wiki.biligame.com/rocom/%E8%BF%B7%E4%BD%A0%E4%B9%8C%EF%BC%88%E6%9E%81%E6%98%BC%E7%9A%84%E6%A0%B7%E5%AD%90%EF%BC%89</t>
  </si>
  <si>
    <t>NO.175</t>
  </si>
  <si>
    <t>多菇丁</t>
  </si>
  <si>
    <t>https://wiki.biligame.com/rocom/%E5%A4%9A%E8%8F%87%E4%B8%81</t>
  </si>
  <si>
    <t>NO.222</t>
  </si>
  <si>
    <t>库多西</t>
  </si>
  <si>
    <t>https://wiki.biligame.com/rocom/%E5%BA%93%E5%A4%9A%E8%A5%BF</t>
  </si>
  <si>
    <t>NO.296</t>
  </si>
  <si>
    <t>毛头小蛛</t>
  </si>
  <si>
    <t>https://wiki.biligame.com/rocom/%E6%AF%9B%E5%A4%B4%E5%B0%8F%E8%9B%9B</t>
  </si>
  <si>
    <t>NO.140</t>
  </si>
  <si>
    <t>冰封怨灵</t>
  </si>
  <si>
    <t>https://wiki.biligame.com/rocom/%E5%86%B0%E5%B0%81%E6%80%A8%E7%81%B5</t>
  </si>
  <si>
    <t>NO.242</t>
  </si>
  <si>
    <t>胆小鳗鱼</t>
  </si>
  <si>
    <t>https://wiki.biligame.com/rocom/%E8%83%86%E5%B0%8F%E9%B3%97%E9%B1%BC</t>
  </si>
  <si>
    <t>NO.199</t>
  </si>
  <si>
    <t>气球猫</t>
  </si>
  <si>
    <t>鼓气：使用能耗为3的技能时，获得攻防+20%。</t>
  </si>
  <si>
    <t>https://wiki.biligame.com/rocom/%E6%B0%94%E7%90%83%E7%8C%AB</t>
  </si>
  <si>
    <t>NO.325</t>
  </si>
  <si>
    <t>柴渣虫</t>
  </si>
  <si>
    <t>https://wiki.biligame.com/rocom/%E6%9F%B4%E6%B8%A3%E8%99%AB</t>
  </si>
  <si>
    <t>NO.267</t>
  </si>
  <si>
    <t>晕晕鸡</t>
  </si>
  <si>
    <t>https://wiki.biligame.com/rocom/%E6%99%95%E6%99%95%E9%B8%A1</t>
  </si>
  <si>
    <t>NO.192</t>
  </si>
  <si>
    <t>棋契陛下</t>
  </si>
  <si>
    <t>渗透：己方精灵每使用1次武系或地系技能，自己入场时获得攻防+5%。</t>
  </si>
  <si>
    <t>https://wiki.biligame.com/rocom/%E6%A3%8B%E7%BB%AE%E5%90%8E%EF%BC%88%E7%99%BD%E5%AD%90%EF%BC%89</t>
  </si>
  <si>
    <t>NO.287</t>
  </si>
  <si>
    <t>吸泥鸥</t>
  </si>
  <si>
    <t>https://wiki.biligame.com/rocom/%E5%90%B8%E6%B3%A5%E9%B8%A5</t>
  </si>
  <si>
    <t>NO.160</t>
  </si>
  <si>
    <t>水蛇锁</t>
  </si>
  <si>
    <t>https://wiki.biligame.com/rocom/%E6%B0%B4%E8%9B%87%E9%94%81</t>
  </si>
  <si>
    <t>NO.057</t>
  </si>
  <si>
    <t>梦游</t>
  </si>
  <si>
    <t>https://wiki.biligame.com/rocom/%E6%A2%A6%E6%B8%B8%EF%BC%88%E7%A9%BF%E6%97%A7%E7%9D%A1%E8%A1%A3%E7%9A%84%E6%A0%B7%E5%AD%90%EF%BC%89</t>
  </si>
  <si>
    <t>NO.132</t>
  </si>
  <si>
    <t>小电企鹅</t>
  </si>
  <si>
    <t>https://wiki.biligame.com/rocom/%E5%B0%8F%E7%94%B5%E4%BC%81%E9%B9%85</t>
  </si>
  <si>
    <t>NO.214</t>
  </si>
  <si>
    <t>矮脚爬爬</t>
  </si>
  <si>
    <t>https://wiki.biligame.com/rocom/%E7%9F%AE%E8%84%9A%E7%88%AC%E7%88%AC</t>
  </si>
  <si>
    <t>NO.069</t>
  </si>
  <si>
    <t>蒲公英</t>
  </si>
  <si>
    <t>https://wiki.biligame.com/rocom/%E8%92%B2%E5%85%AC%E8%8B%B1</t>
  </si>
  <si>
    <t>NO.163</t>
  </si>
  <si>
    <t>小怂猫</t>
  </si>
  <si>
    <t>https://wiki.biligame.com/rocom/%E5%B0%8F%E6%80%82%E7%8C%AB</t>
  </si>
  <si>
    <t>NO.022</t>
  </si>
  <si>
    <t>幻灵菇</t>
  </si>
  <si>
    <t>https://wiki.biligame.com/rocom/%E5%B9%BB%E7%81%B5%E8%8F%87</t>
  </si>
  <si>
    <t>NO.042</t>
  </si>
  <si>
    <t>奇丽叶</t>
  </si>
  <si>
    <t>https://wiki.biligame.com/rocom/%E5%A5%87%E4%B8%BD%E5%8F%B6</t>
  </si>
  <si>
    <t>NO.106</t>
  </si>
  <si>
    <t>阿米樱</t>
  </si>
  <si>
    <t>https://wiki.biligame.com/rocom/%E9%98%BF%E7%B1%B3%E6%A8%B1</t>
  </si>
  <si>
    <t>NO.097</t>
  </si>
  <si>
    <t>咔咔雀</t>
  </si>
  <si>
    <t>https://wiki.biligame.com/rocom/%E5%92%94%E5%92%94%E9%9B%80</t>
  </si>
  <si>
    <t>NO.061</t>
  </si>
  <si>
    <t>贪食鼹</t>
  </si>
  <si>
    <t>https://wiki.biligame.com/rocom/%E8%B4%AA%E9%A3%9F%E9%BC%B9</t>
  </si>
  <si>
    <t>NO.114</t>
  </si>
  <si>
    <t>仪式之星</t>
  </si>
  <si>
    <t>https://wiki.biligame.com/rocom/%E4%BB%AA%E5%BC%8F%E4%B9%8B%E6%98%9F</t>
  </si>
  <si>
    <t>NO.229</t>
  </si>
  <si>
    <t>缇塔</t>
  </si>
  <si>
    <t>https://wiki.biligame.com/rocom/%E7%BC%87%E5%A1%94</t>
  </si>
  <si>
    <t>NO.143</t>
  </si>
  <si>
    <t>帽兜娃娃</t>
  </si>
  <si>
    <t>捉迷藏：使敌方获得冻结时，也会使其获得全技能能耗+1。</t>
  </si>
  <si>
    <t>https://wiki.biligame.com/rocom/%E5%B8%BD%E5%85%9C%E5%A8%83%E5%A8%83</t>
  </si>
  <si>
    <t>NO.086</t>
  </si>
  <si>
    <t>紫夜</t>
  </si>
  <si>
    <t>https://wiki.biligame.com/rocom/%E7%B4%AB%E5%A4%9C</t>
  </si>
  <si>
    <t>NO.186</t>
  </si>
  <si>
    <t>壳乙螺</t>
  </si>
  <si>
    <t>https://wiki.biligame.com/rocom/%E5%A3%B3%E4%B9%99%E8%9E%BA</t>
  </si>
  <si>
    <t>NO.119</t>
  </si>
  <si>
    <t>蓬叶虫</t>
  </si>
  <si>
    <t>https://wiki.biligame.com/rocom/%E8%93%AC%E5%8F%B6%E8%99%AB%EF%BC%88%E9%87%91%E9%BB%84%E7%9A%84%E6%A0%B7%E5%AD%90%EF%BC%89</t>
  </si>
  <si>
    <t>NO.193</t>
  </si>
  <si>
    <t>奔波鼠</t>
  </si>
  <si>
    <t>https://wiki.biligame.com/rocom/%E5%A5%94%E6%B3%A2%E9%BC%A0</t>
  </si>
  <si>
    <t>NO.103</t>
  </si>
  <si>
    <t>魔翼鸟</t>
  </si>
  <si>
    <t>https://wiki.biligame.com/rocom/%E9%AD%94%E7%BF%BC%E9%B8%9F</t>
  </si>
  <si>
    <t>NO.047</t>
  </si>
  <si>
    <t>护主犬</t>
  </si>
  <si>
    <t>https://wiki.biligame.com/rocom/%E6%8A%A4%E4%B8%BB%E7%8A%AC</t>
  </si>
  <si>
    <t>NO.080</t>
  </si>
  <si>
    <t>小星光</t>
  </si>
  <si>
    <t>https://wiki.biligame.com/rocom/%E5%B0%8F%E6%98%9F%E5%85%89%EF%BC%88%E6%98%9F%E5%85%89%E8%83%BD%E9%87%8F%E7%9A%84%E6%A0%B7%E5%AD%90%EF%BC%89</t>
  </si>
  <si>
    <t>NO.019</t>
  </si>
  <si>
    <t>冬羽雀</t>
  </si>
  <si>
    <t>https://wiki.biligame.com/rocom/%E5%86%AC%E7%BE%BD%E9%9B%80%EF%BC%88%E6%9C%AC%E6%9D%A5%E7%9A%84%E6%A0%B7%E5%AD%90%EF%BC%89</t>
  </si>
  <si>
    <t>NO.313</t>
  </si>
  <si>
    <t>果冻</t>
  </si>
  <si>
    <t>https://wiki.biligame.com/rocom/%E6%9E%9C%E5%86%BB</t>
  </si>
  <si>
    <t>NO.237</t>
  </si>
  <si>
    <t>刺轮砣</t>
  </si>
  <si>
    <t>https://wiki.biligame.com/rocom/%E5%88%BA%E8%BD%AE%E7%A0%A3%EF%BC%88%E4%B8%8A%E5%BC%A6%E7%9A%84%E6%A0%B7%E5%AD%90%EF%BC%89</t>
  </si>
  <si>
    <t>NO.278</t>
  </si>
  <si>
    <t>遁鼠</t>
  </si>
  <si>
    <t>https://wiki.biligame.com/rocom/%E9%81%81%E9%BC%A0%EF%BC%88%E6%9E%AF%E6%B0%B4%E6%9C%9F%E7%9A%84%E6%A0%B7%E5%AD%90%EF%BC%89</t>
  </si>
  <si>
    <t>NO.123</t>
  </si>
  <si>
    <t>忽幽狸</t>
  </si>
  <si>
    <t>https://wiki.biligame.com/rocom/%E5%BF%BD%E5%B9%BD%E7%8B%B8</t>
  </si>
  <si>
    <t>NO.338</t>
  </si>
  <si>
    <t>布瓜蝌</t>
  </si>
  <si>
    <t>https://wiki.biligame.com/rocom/%E5%B8%83%E7%93%9C%E8%9D%8C</t>
  </si>
  <si>
    <t>NO.177</t>
  </si>
  <si>
    <t>斑斑</t>
  </si>
  <si>
    <t>https://wiki.biligame.com/rocom/%E6%96%91%E6%96%91</t>
  </si>
  <si>
    <t>NO.130</t>
  </si>
  <si>
    <t>怖哭菇</t>
  </si>
  <si>
    <t>吸积盘：回合结束时，敌方获得2层星陨印记。</t>
  </si>
  <si>
    <t>https://wiki.biligame.com/rocom/%E6%80%96%E5%93%AD%E8%8F%87</t>
  </si>
  <si>
    <t>NO.077</t>
  </si>
  <si>
    <t>刺盔虫</t>
  </si>
  <si>
    <t>https://wiki.biligame.com/rocom/%E5%88%BA%E7%9B%94%E8%99%AB%EF%BC%88%E6%9C%AC%E6%9D%A5%E7%9A%84%E6%A0%B7%E5%AD%90%EF%BC%89</t>
  </si>
  <si>
    <t>NO.126</t>
  </si>
  <si>
    <t>多啦多</t>
  </si>
  <si>
    <t>https://wiki.biligame.com/rocom/%E5%A4%9A%E5%95%A6%E5%A4%9A</t>
  </si>
  <si>
    <t>NO.109</t>
  </si>
  <si>
    <t>蓝蝶鲨</t>
  </si>
  <si>
    <t>https://wiki.biligame.com/rocom/%E8%93%9D%E8%9D%B6%E9%B2%A8</t>
  </si>
  <si>
    <t>NO.235</t>
  </si>
  <si>
    <t>香草甜甜</t>
  </si>
  <si>
    <t>https://wiki.biligame.com/rocom/%E9%A6%99%E8%8D%89%E7%94%9C%E7%94%9C</t>
  </si>
  <si>
    <t>NO.346</t>
  </si>
  <si>
    <t>曜星光</t>
  </si>
  <si>
    <t>https://wiki.biligame.com/rocom/%E6%9B%9C%E6%98%9F%E5%85%89</t>
  </si>
  <si>
    <t>NO.037</t>
  </si>
  <si>
    <t>燕尾獭</t>
  </si>
  <si>
    <t>https://wiki.biligame.com/rocom/%E7%87%95%E5%B0%BE%E7%8D%AD</t>
  </si>
  <si>
    <t>NO.166</t>
  </si>
  <si>
    <t>神圣狮鹫</t>
  </si>
  <si>
    <t>https://wiki.biligame.com/rocom/%E7%A5%9E%E5%9C%A3%E7%8B%AE%E9%B9%AB%EF%BC%88%E5%B4%96%E9%97%B4%E5%9C%B0%E7%9A%84%E6%A0%B7%E5%AD%90%EF%BC%89</t>
  </si>
  <si>
    <t>NO.308</t>
  </si>
  <si>
    <t>小绒茧</t>
  </si>
  <si>
    <t>https://wiki.biligame.com/rocom/%E5%B0%8F%E7%BB%92%E8%8C%A7</t>
  </si>
  <si>
    <t>NO.188</t>
  </si>
  <si>
    <t>棋棋</t>
  </si>
  <si>
    <t>https://wiki.biligame.com/rocom/%E6%A3%8B%E6%A3%8B%EF%BC%88%E7%99%BD%E5%AD%90%EF%BC%89</t>
  </si>
  <si>
    <t>NO.227</t>
  </si>
  <si>
    <t>奔乐鹿</t>
  </si>
  <si>
    <t>https://wiki.biligame.com/rocom/%E5%A5%94%E4%B9%90%E9%B9%BF</t>
  </si>
  <si>
    <t>NO.148</t>
  </si>
  <si>
    <t>九尾狐</t>
  </si>
  <si>
    <t>https://wiki.biligame.com/rocom/%E4%B9%9D%E5%B0%BE%E7%8B%90</t>
  </si>
  <si>
    <t>NO.181</t>
  </si>
  <si>
    <t>海豹战士</t>
  </si>
  <si>
    <t>https://wiki.biligame.com/rocom/%E6%B5%B7%E8%B1%B9%E6%88%98%E5%A3%AB</t>
  </si>
  <si>
    <t>NO.323</t>
  </si>
  <si>
    <t>嗜光嗡嗡</t>
  </si>
  <si>
    <t>https://wiki.biligame.com/rocom/%E5%97%9C%E5%85%89%E5%97%A1%E5%97%A1</t>
  </si>
  <si>
    <t>NO.039</t>
  </si>
  <si>
    <t>矿晶虫</t>
  </si>
  <si>
    <t>https://wiki.biligame.com/rocom/%E7%9F%BF%E6%99%B6%E8%99%AB</t>
  </si>
  <si>
    <t>NO.111</t>
  </si>
  <si>
    <t>石石</t>
  </si>
  <si>
    <t>https://wiki.biligame.com/rocom/%E7%9F%B3%E7%9F%B3</t>
  </si>
  <si>
    <t>NO.283</t>
  </si>
  <si>
    <t>小甲虫</t>
  </si>
  <si>
    <t>https://wiki.biligame.com/rocom/%E5%B0%8F%E7%94%B2%E8%99%AB</t>
  </si>
  <si>
    <t>NO.025</t>
  </si>
  <si>
    <t>石刺蜥</t>
  </si>
  <si>
    <t>https://wiki.biligame.com/rocom/%E7%9F%B3%E5%88%BA%E8%9C%A5%EF%BC%88%E6%9C%AC%E6%9D%A5%E7%9A%84%E6%A0%B7%E5%AD%90%EF%BC%89</t>
  </si>
  <si>
    <t>NO.275</t>
  </si>
  <si>
    <t>格兰花</t>
  </si>
  <si>
    <t>https://wiki.biligame.com/rocom/%E6%A0%BC%E5%85%B0%E8%8A%B1</t>
  </si>
  <si>
    <t>NO.343</t>
  </si>
  <si>
    <t>春兔</t>
  </si>
  <si>
    <t>https://wiki.biligame.com/rocom/%E6%98%A5%E5%85%94</t>
  </si>
  <si>
    <t>NO.205</t>
  </si>
  <si>
    <t>拉特</t>
  </si>
  <si>
    <t>https://wiki.biligame.com/rocom/%E6%8B%89%E7%89%B9</t>
  </si>
  <si>
    <t>NO.249</t>
  </si>
  <si>
    <t>可爱猿</t>
  </si>
  <si>
    <t>https://wiki.biligame.com/rocom/%E5%8F%AF%E7%88%B1%E7%8C%BF</t>
  </si>
  <si>
    <t>NO.224</t>
  </si>
  <si>
    <t>小翼龙</t>
  </si>
  <si>
    <t>https://wiki.biligame.com/rocom/%E5%B0%8F%E7%BF%BC%E9%BE%99</t>
  </si>
  <si>
    <t>NO.212</t>
  </si>
  <si>
    <t>古钟蛇</t>
  </si>
  <si>
    <t>https://wiki.biligame.com/rocom/%E5%8F%A4%E9%92%9F%E8%9B%87%EF%BC%88%E6%9C%AC%E6%9D%A5%E7%9A%84%E6%A0%B7%E5%AD%90%EF%BC%89</t>
  </si>
  <si>
    <t>NO.030</t>
  </si>
  <si>
    <t>恶魔叮</t>
  </si>
  <si>
    <t>https://wiki.biligame.com/rocom/%E6%81%B6%E9%AD%94%E5%8F%AE</t>
  </si>
  <si>
    <t>NO.217</t>
  </si>
  <si>
    <t>火尾战士</t>
  </si>
  <si>
    <t>https://wiki.biligame.com/rocom/%E7%81%AB%E5%B0%BE%E6%88%98%E5%A3%AB</t>
  </si>
  <si>
    <t>NO.050</t>
  </si>
  <si>
    <t>抱枕松鼠</t>
  </si>
  <si>
    <t>https://wiki.biligame.com/rocom/%E6%8A%B1%E6%9E%95%E6%9D%BE%E9%BC%A0</t>
  </si>
  <si>
    <t>NO.134</t>
  </si>
  <si>
    <t>雪豆丁</t>
  </si>
  <si>
    <t>https://wiki.biligame.com/rocom/%E9%9B%AA%E8%B1%86%E4%B8%81</t>
  </si>
  <si>
    <t>NO.071</t>
  </si>
  <si>
    <t>伊贝儿</t>
  </si>
  <si>
    <t>https://wiki.biligame.com/rocom/%E4%BC%8A%E8%B4%9D%E5%84%BF</t>
  </si>
  <si>
    <t>NO.208</t>
  </si>
  <si>
    <t>刺电环</t>
  </si>
  <si>
    <t>https://wiki.biligame.com/rocom/%E5%88%BA%E7%94%B5%E7%8E%AF</t>
  </si>
  <si>
    <t>NO.027</t>
  </si>
  <si>
    <t>布是石</t>
  </si>
  <si>
    <t>https://wiki.biligame.com/rocom/%E5%B8%83%E6%98%AF%E7%9F%B3</t>
  </si>
  <si>
    <t>NO.064</t>
  </si>
  <si>
    <t>蹦蹦草</t>
  </si>
  <si>
    <t>https://wiki.biligame.com/rocom/%E8%B9%A6%E8%B9%A6%E8%8D%89%EF%BC%88%E6%B5%B7%E7%A5%9E%E7%90%83%E5%BD%A2%E6%80%81%EF%BC%89</t>
  </si>
  <si>
    <t>NO.179</t>
  </si>
  <si>
    <t>草头鸭</t>
  </si>
  <si>
    <t>https://wiki.biligame.com/rocom/%E8%8D%89%E5%A4%B4%E9%B8%AD</t>
  </si>
  <si>
    <t>NO.291</t>
  </si>
  <si>
    <t>厉毒小萝</t>
  </si>
  <si>
    <t>https://wiki.biligame.com/rocom/%E5%8E%89%E6%AF%92%E5%B0%8F%E8%90%9D</t>
  </si>
  <si>
    <t>NO.232</t>
  </si>
  <si>
    <t>鄙目鹬</t>
  </si>
  <si>
    <t>https://wiki.biligame.com/rocom/%E9%84%99%E7%9B%AE%E9%B9%AC</t>
  </si>
  <si>
    <t>NO.067</t>
  </si>
  <si>
    <t>粉咩咩</t>
  </si>
  <si>
    <t>https://wiki.biligame.com/rocom/%E7%B2%89%E5%92%A9%E5%92%A9</t>
  </si>
  <si>
    <t>NO.100</t>
  </si>
  <si>
    <t>草衣虫</t>
  </si>
  <si>
    <t>https://wiki.biligame.com/rocom/%E8%8D%89%E8%A1%A3%E8%99%AB</t>
  </si>
  <si>
    <t>NO.073</t>
  </si>
  <si>
    <t>白发懒人</t>
  </si>
  <si>
    <t>https://wiki.biligame.com/rocom/%E7%99%BD%E5%8F%91%E6%87%92%E4%BA%BA</t>
  </si>
  <si>
    <t>NO.253</t>
  </si>
  <si>
    <t>雪顶布鲁斯</t>
  </si>
  <si>
    <t>https://wiki.biligame.com/rocom/%E9%9B%AA%E9%A1%B6%E5%B8%83%E9%B2%81%E6%96%AF</t>
  </si>
  <si>
    <t>NO.261</t>
  </si>
  <si>
    <t>螺旋帕帕</t>
  </si>
  <si>
    <t>https://wiki.biligame.com/rocom/%E8%9E%BA%E6%97%8B%E5%B8%95%E5%B8%95</t>
  </si>
  <si>
    <t>NO.328</t>
  </si>
  <si>
    <t>夜宿颅</t>
  </si>
  <si>
    <t>https://wiki.biligame.com/rocom/%E5%A4%9C%E5%AE%BF%E9%A2%85</t>
  </si>
  <si>
    <t>NO.003</t>
  </si>
  <si>
    <t>喵呜</t>
  </si>
  <si>
    <t>https://wiki.biligame.com/rocom/%E5%96%B5%E5%91%9C</t>
  </si>
  <si>
    <t>NO.169</t>
  </si>
  <si>
    <t>尖角蜘蛛</t>
  </si>
  <si>
    <t>https://wiki.biligame.com/rocom/%E5%B0%96%E8%A7%92%E8%9C%98%E8%9B%9B</t>
  </si>
  <si>
    <t>NO.289</t>
  </si>
  <si>
    <t>大头骨龙</t>
  </si>
  <si>
    <t>https://wiki.biligame.com/rocom/%E5%A4%A7%E5%A4%B4%E9%AA%A8%E9%BE%99</t>
  </si>
  <si>
    <t>NO.247</t>
  </si>
  <si>
    <t>裘力</t>
  </si>
  <si>
    <t>https://wiki.biligame.com/rocom/%E8%A3%98%E5%8A%9B</t>
  </si>
  <si>
    <t>NO.150</t>
  </si>
  <si>
    <t>里奥</t>
  </si>
  <si>
    <t>https://wiki.biligame.com/rocom/%E9%87%8C%E5%A5%A5</t>
  </si>
  <si>
    <t>NO.153</t>
  </si>
  <si>
    <t>松仔</t>
  </si>
  <si>
    <t>https://wiki.biligame.com/rocom/%E6%9D%BE%E4%BB%94</t>
  </si>
  <si>
    <t>NO.293</t>
  </si>
  <si>
    <t>小帕尔</t>
  </si>
  <si>
    <t>https://wiki.biligame.com/rocom/%E5%B0%8F%E5%B8%95%E5%B0%94</t>
  </si>
  <si>
    <t>NO.318</t>
  </si>
  <si>
    <t>落星虫</t>
  </si>
  <si>
    <t>https://wiki.biligame.com/rocom/%E8%90%BD%E6%98%9F%E8%99%AB</t>
  </si>
  <si>
    <t>NO.088</t>
  </si>
  <si>
    <t>乖乖鹄</t>
  </si>
  <si>
    <t>https://wiki.biligame.com/rocom/%E4%B9%96%E4%B9%96%E9%B9%84</t>
  </si>
  <si>
    <t>NO.045</t>
  </si>
  <si>
    <t>卡卡虫</t>
  </si>
  <si>
    <t>https://wiki.biligame.com/rocom/%E5%8D%A1%E5%8D%A1%E8%99%AB%EF%BC%88%E8%8D%89%E5%9C%B0%E9%99%84%E8%BF%91%E7%9A%84%E6%A0%B7%E5%AD%90%EF%BC%89</t>
  </si>
  <si>
    <t>NO.332</t>
  </si>
  <si>
    <t>贝瑟</t>
  </si>
  <si>
    <t>https://wiki.biligame.com/rocom/%E8%B4%9D%E7%91%9F</t>
  </si>
  <si>
    <t>NO.299</t>
  </si>
  <si>
    <t>画精灵</t>
  </si>
  <si>
    <t>https://wiki.biligame.com/rocom/%E7%94%BB%E7%B2%BE%E7%81%B5</t>
  </si>
  <si>
    <t>NO.008</t>
  </si>
  <si>
    <t>水蓝蓝</t>
  </si>
  <si>
    <t>https://wiki.biligame.com/rocom/%E6%B0%B4%E8%93%9D%E8%93%9D</t>
  </si>
  <si>
    <t>NO.054</t>
  </si>
  <si>
    <t>小灵面</t>
  </si>
  <si>
    <t>https://wiki.biligame.com/rocom/%E5%B0%8F%E7%81%B5%E9%9D%A2</t>
  </si>
  <si>
    <t>NO.084</t>
  </si>
  <si>
    <t>花魁蜂后</t>
  </si>
  <si>
    <t>虫/翼</t>
  </si>
  <si>
    <t>虫群鼓舞：队伍中每有1只其他的虫系精灵，自己入场时获得攻防速+10%。</t>
  </si>
  <si>
    <t>https://wiki.biligame.com/rocom/%E8%8A%B1%E9%AD%81%E8%9C%82%E5%90%8E</t>
  </si>
  <si>
    <t>NO.034</t>
  </si>
  <si>
    <t>化蝶</t>
  </si>
  <si>
    <t>虫/萌</t>
  </si>
  <si>
    <t>化茧：受到致命伤害时，获得1层萌化，并免疫此次伤害。</t>
  </si>
  <si>
    <t>https://wiki.biligame.com/rocom/%E5%8C%96%E8%9D%B6%EF%BC%88%E5%B9%B3%E5%B8%B8%E7%9A%84%E6%A0%B7%E5%AD%90%EF%BC%89</t>
  </si>
  <si>
    <t>NO.005</t>
  </si>
  <si>
    <t>火花</t>
  </si>
  <si>
    <t>https://wiki.biligame.com/rocom/%E7%81%AB%E8%8A%B1</t>
  </si>
  <si>
    <t>NO.239</t>
  </si>
  <si>
    <t>豆丁鱼</t>
  </si>
  <si>
    <t>https://wiki.biligame.com/rocom/%E8%B1%86%E4%B8%81%E9%B1%BC</t>
  </si>
  <si>
    <t>NO.255</t>
  </si>
  <si>
    <t>治愈兔</t>
  </si>
  <si>
    <t>https://wiki.biligame.com/rocom/%E6%B2%BB%E6%84%88%E5%85%94</t>
  </si>
  <si>
    <t>NO.263</t>
  </si>
  <si>
    <t>机械方方</t>
  </si>
  <si>
    <t>https://wiki.biligame.com/rocom/%E6%9C%BA%E6%A2%B0%E6%96%B9%E6%96%B9</t>
  </si>
  <si>
    <t>NO.012</t>
  </si>
  <si>
    <t>板板壳</t>
  </si>
  <si>
    <t>https://wiki.biligame.com/rocom/%E6%9D%BF%E6%9D%BF%E5%A3%B3%EF%BC%88%E6%9C%AC%E6%9D%A5%E7%9A%84%E6%A0%B7%E5%AD%90%EF%BC%89</t>
  </si>
  <si>
    <t>NO.310</t>
  </si>
  <si>
    <t>犀角鸟</t>
  </si>
  <si>
    <t>https://wiki.biligame.com/rocom/%E7%8A%80%E8%A7%92%E9%B8%9F</t>
  </si>
  <si>
    <t>NO.156</t>
  </si>
  <si>
    <t>小勇狮</t>
  </si>
  <si>
    <t>https://wiki.biligame.com/rocom/%E5%B0%8F%E5%8B%87%E7%8B%AE</t>
  </si>
  <si>
    <t>NO.129</t>
  </si>
  <si>
    <t>怖须菇</t>
  </si>
  <si>
    <t>https://wiki.biligame.com/rocom/%E6%80%96%E9%A1%BB%E8%8F%87</t>
  </si>
  <si>
    <t>NO.171</t>
  </si>
  <si>
    <t>波波螺</t>
  </si>
  <si>
    <t>https://wiki.biligame.com/rocom/%E6%B3%A2%E6%B3%A2%E8%9E%BA</t>
  </si>
  <si>
    <t>NO.258</t>
  </si>
  <si>
    <t>乌达</t>
  </si>
  <si>
    <t>https://wiki.biligame.com/rocom/%E4%B9%8C%E8%BE%BE%EF%BC%88%E6%9E%81%E6%98%BC%E7%9A%84%E6%A0%B7%E5%AD%90%EF%BC%89</t>
  </si>
  <si>
    <t>NO.195</t>
  </si>
  <si>
    <t>呆小路</t>
  </si>
  <si>
    <t>https://wiki.biligame.com/rocom/%E5%91%86%E5%B0%8F%E8%B7%AF</t>
  </si>
  <si>
    <t>NO.015</t>
  </si>
  <si>
    <t>锥尾羊</t>
  </si>
  <si>
    <t>https://wiki.biligame.com/rocom/%E9%94%A5%E5%B0%BE%E7%BE%8A</t>
  </si>
  <si>
    <t>NO.303</t>
  </si>
  <si>
    <t>书魔虫</t>
  </si>
  <si>
    <t>https://wiki.biligame.com/rocom/%E4%B9%A6%E9%AD%94%E8%99%AB</t>
  </si>
  <si>
    <t>NO.198</t>
  </si>
  <si>
    <t>逗逗</t>
  </si>
  <si>
    <t>https://wiki.biligame.com/rocom/%E9%80%97%E9%80%97</t>
  </si>
  <si>
    <t>NO.174</t>
  </si>
  <si>
    <t>菇菇丁</t>
  </si>
  <si>
    <t>https://wiki.biligame.com/rocom/%E8%8F%87%E8%8F%87%E4%B8%81</t>
  </si>
  <si>
    <t>NO.221</t>
  </si>
  <si>
    <t>多西</t>
  </si>
  <si>
    <t>https://wiki.biligame.com/rocom/%E5%A4%9A%E8%A5%BF</t>
  </si>
  <si>
    <t>NO.139</t>
  </si>
  <si>
    <t>雪娃娃</t>
  </si>
  <si>
    <t>https://wiki.biligame.com/rocom/%E9%9B%AA%E5%A8%83%E5%A8%83</t>
  </si>
  <si>
    <t>NO.266</t>
  </si>
  <si>
    <t>可立鸡</t>
  </si>
  <si>
    <t>https://wiki.biligame.com/rocom/%E5%8F%AF%E7%AB%8B%E9%B8%A1</t>
  </si>
  <si>
    <t>NO.159</t>
  </si>
  <si>
    <t>水滴蛇</t>
  </si>
  <si>
    <t>https://wiki.biligame.com/rocom/%E6%B0%B4%E6%BB%B4%E8%9B%87</t>
  </si>
  <si>
    <t>NO.021</t>
  </si>
  <si>
    <t>小灵菇</t>
  </si>
  <si>
    <t>https://wiki.biligame.com/rocom/%E5%B0%8F%E7%81%B5%E8%8F%87</t>
  </si>
  <si>
    <t>NO.041</t>
  </si>
  <si>
    <t>奇丽草</t>
  </si>
  <si>
    <t>https://wiki.biligame.com/rocom/%E5%A5%87%E4%B8%BD%E8%8D%89</t>
  </si>
  <si>
    <t>NO.060</t>
  </si>
  <si>
    <t>伏地兽</t>
  </si>
  <si>
    <t>https://wiki.biligame.com/rocom/%E4%BC%8F%E5%9C%B0%E5%85%BD</t>
  </si>
  <si>
    <t>NO.105</t>
  </si>
  <si>
    <t>阿米亚特</t>
  </si>
  <si>
    <t>https://wiki.biligame.com/rocom/%E9%98%BF%E7%B1%B3%E4%BA%9A%E7%89%B9</t>
  </si>
  <si>
    <t>NO.113</t>
  </si>
  <si>
    <t>仪使者</t>
  </si>
  <si>
    <t>https://wiki.biligame.com/rocom/%E4%BB%AA%E4%BD%BF%E8%80%85</t>
  </si>
  <si>
    <t>NO.096</t>
  </si>
  <si>
    <t>咔咔羽毛</t>
  </si>
  <si>
    <t>https://wiki.biligame.com/rocom/%E5%92%94%E5%92%94%E7%BE%BD%E6%AF%9B</t>
  </si>
  <si>
    <t>NO.142</t>
  </si>
  <si>
    <t>大耳帽兜</t>
  </si>
  <si>
    <t>https://wiki.biligame.com/rocom/%E5%A4%A7%E8%80%B3%E5%B8%BD%E5%85%9C</t>
  </si>
  <si>
    <t>NO.085</t>
  </si>
  <si>
    <t>小夜</t>
  </si>
  <si>
    <t>https://wiki.biligame.com/rocom/%E5%B0%8F%E5%A4%9C</t>
  </si>
  <si>
    <t>NO.118</t>
  </si>
  <si>
    <t>旋叶虫</t>
  </si>
  <si>
    <t>https://wiki.biligame.com/rocom/%E6%97%8B%E5%8F%B6%E8%99%AB%EF%BC%88%E9%87%91%E9%BB%84%E7%9A%84%E6%A0%B7%E5%AD%90%EF%BC%89</t>
  </si>
  <si>
    <t>NO.102</t>
  </si>
  <si>
    <t>绿翼鸟</t>
  </si>
  <si>
    <t>https://wiki.biligame.com/rocom/%E7%BB%BF%E7%BF%BC%E9%B8%9F</t>
  </si>
  <si>
    <t>NO.185</t>
  </si>
  <si>
    <t>甜田螺</t>
  </si>
  <si>
    <t>https://wiki.biligame.com/rocom/%E7%94%9C%E7%94%B0%E8%9E%BA</t>
  </si>
  <si>
    <t>NO.018</t>
  </si>
  <si>
    <t>雪绒鸟</t>
  </si>
  <si>
    <t>https://wiki.biligame.com/rocom/%E9%9B%AA%E7%BB%92%E9%B8%9F%EF%BC%88%E6%9C%AC%E6%9D%A5%E7%9A%84%E6%A0%B7%E5%AD%90%EF%BC%89</t>
  </si>
  <si>
    <t>NO.277</t>
  </si>
  <si>
    <t>地鼠</t>
  </si>
  <si>
    <t>https://wiki.biligame.com/rocom/%E5%9C%B0%E9%BC%A0%EF%BC%88%E6%9E%AF%E6%B0%B4%E6%9C%9F%E7%9A%84%E6%A0%B7%E5%AD%90%EF%BC%89</t>
  </si>
  <si>
    <t>NO.076</t>
  </si>
  <si>
    <t>海盔虫</t>
  </si>
  <si>
    <t>https://wiki.biligame.com/rocom/%E6%B5%B7%E7%9B%94%E8%99%AB%EF%BC%88%E6%9C%AC%E6%9D%A5%E7%9A%84%E6%A0%B7%E5%AD%90%EF%BC%89</t>
  </si>
  <si>
    <t>NO.125</t>
  </si>
  <si>
    <t>多多</t>
  </si>
  <si>
    <t>https://wiki.biligame.com/rocom/%E5%A4%9A%E5%A4%9A</t>
  </si>
  <si>
    <t>NO.108</t>
  </si>
  <si>
    <t>风铃鲨</t>
  </si>
  <si>
    <t>https://wiki.biligame.com/rocom/%E9%A3%8E%E9%93%83%E9%B2%A8</t>
  </si>
  <si>
    <t>NO.234</t>
  </si>
  <si>
    <t>脆筒甜甜</t>
  </si>
  <si>
    <t>https://wiki.biligame.com/rocom/%E8%84%86%E7%AD%92%E7%94%9C%E7%94%9C</t>
  </si>
  <si>
    <t>NO.307</t>
  </si>
  <si>
    <t>绒绒</t>
  </si>
  <si>
    <t>https://wiki.biligame.com/rocom/%E7%BB%92%E7%BB%92</t>
  </si>
  <si>
    <t>NO.165</t>
  </si>
  <si>
    <t>小狮鹫</t>
  </si>
  <si>
    <t>https://wiki.biligame.com/rocom/%E5%B0%8F%E7%8B%AE%E9%B9%AB%EF%BC%88%E5%B4%96%E9%97%B4%E5%9C%B0%E7%9A%84%E6%A0%B7%E5%AD%90%EF%BC%89</t>
  </si>
  <si>
    <t>NO.036</t>
  </si>
  <si>
    <t>小鼠獭</t>
  </si>
  <si>
    <t>https://wiki.biligame.com/rocom/%E5%B0%8F%E9%BC%A0%E7%8D%AD</t>
  </si>
  <si>
    <t>NO.226</t>
  </si>
  <si>
    <t>电动长颈鹿</t>
  </si>
  <si>
    <t>https://wiki.biligame.com/rocom/%E7%94%B5%E5%8A%A8%E9%95%BF%E9%A2%88%E9%B9%BF</t>
  </si>
  <si>
    <t>NO.345</t>
  </si>
  <si>
    <t>幽星光</t>
  </si>
  <si>
    <t>https://wiki.biligame.com/rocom/%E5%B9%BD%E6%98%9F%E5%85%89</t>
  </si>
  <si>
    <t>NO.147</t>
  </si>
  <si>
    <t>灵狐</t>
  </si>
  <si>
    <t>https://wiki.biligame.com/rocom/%E7%81%B5%E7%8B%90</t>
  </si>
  <si>
    <t>NO.024</t>
  </si>
  <si>
    <t>石肤蜥</t>
  </si>
  <si>
    <t>https://wiki.biligame.com/rocom/%E7%9F%B3%E8%82%A4%E8%9C%A5%EF%BC%88%E6%9C%AC%E6%9D%A5%E7%9A%84%E6%A0%B7%E5%AD%90%EF%BC%89</t>
  </si>
  <si>
    <t>NO.274</t>
  </si>
  <si>
    <t>格兰种子</t>
  </si>
  <si>
    <t>https://wiki.biligame.com/rocom/%E6%A0%BC%E5%85%B0%E7%A7%8D%E5%AD%90</t>
  </si>
  <si>
    <t>NO.342</t>
  </si>
  <si>
    <t>春团</t>
  </si>
  <si>
    <t>https://wiki.biligame.com/rocom/%E6%98%A5%E5%9B%A2</t>
  </si>
  <si>
    <t>NO.216</t>
  </si>
  <si>
    <t>火尾瓦特</t>
  </si>
  <si>
    <t>https://wiki.biligame.com/rocom/%E7%81%AB%E5%B0%BE%E7%93%A6%E7%89%B9</t>
  </si>
  <si>
    <t>NO.049</t>
  </si>
  <si>
    <t>绿耳松鼠</t>
  </si>
  <si>
    <t>https://wiki.biligame.com/rocom/%E7%BB%BF%E8%80%B3%E6%9D%BE%E9%BC%A0</t>
  </si>
  <si>
    <t>NO.207</t>
  </si>
  <si>
    <t>闪电环</t>
  </si>
  <si>
    <t>https://wiki.biligame.com/rocom/%E9%97%AA%E7%94%B5%E7%8E%AF</t>
  </si>
  <si>
    <t>NO.063</t>
  </si>
  <si>
    <t>蹦蹦种子</t>
  </si>
  <si>
    <t>https://wiki.biligame.com/rocom/%E8%B9%A6%E8%B9%A6%E7%A7%8D%E5%AD%90%EF%BC%88%E6%B5%B7%E7%A5%9E%E7%90%83%E5%BD%A2%E6%80%81%EF%BC%89</t>
  </si>
  <si>
    <t>NO.099</t>
  </si>
  <si>
    <t>小草虫</t>
  </si>
  <si>
    <t>https://wiki.biligame.com/rocom/%E5%B0%8F%E8%8D%89%E8%99%AB</t>
  </si>
  <si>
    <t>NO.066</t>
  </si>
  <si>
    <t>电咩咩</t>
  </si>
  <si>
    <t>https://wiki.biligame.com/rocom/%E7%94%B5%E5%92%A9%E5%92%A9</t>
  </si>
  <si>
    <t>NO.231</t>
  </si>
  <si>
    <t>小鹬</t>
  </si>
  <si>
    <t>https://wiki.biligame.com/rocom/%E5%B0%8F%E9%B9%AC</t>
  </si>
  <si>
    <t>NO.252</t>
  </si>
  <si>
    <t>布鲁斯</t>
  </si>
  <si>
    <t>https://wiki.biligame.com/rocom/%E5%B8%83%E9%B2%81%E6%96%AF</t>
  </si>
  <si>
    <t>NO.327</t>
  </si>
  <si>
    <t>空空颅</t>
  </si>
  <si>
    <t>https://wiki.biligame.com/rocom/%E7%A9%BA%E7%A9%BA%E9%A2%85</t>
  </si>
  <si>
    <t>NO.002</t>
  </si>
  <si>
    <t>喵喵</t>
  </si>
  <si>
    <t>https://wiki.biligame.com/rocom/%E5%96%B5%E5%96%B5</t>
  </si>
  <si>
    <t>NO.168</t>
  </si>
  <si>
    <t>圆眼蜘蛛</t>
  </si>
  <si>
    <t>https://wiki.biligame.com/rocom/%E5%9C%86%E7%9C%BC%E8%9C%98%E8%9B%9B</t>
  </si>
  <si>
    <t>NO.083</t>
  </si>
  <si>
    <t>黄蜂后</t>
  </si>
  <si>
    <t>https://wiki.biligame.com/rocom/%E9%BB%84%E8%9C%82%E5%90%8E</t>
  </si>
  <si>
    <t>NO.033</t>
  </si>
  <si>
    <t>爬爬</t>
  </si>
  <si>
    <t>https://wiki.biligame.com/rocom/%E7%88%AC%E7%88%AC</t>
  </si>
  <si>
    <t>NO.246</t>
  </si>
  <si>
    <t>裘洛</t>
  </si>
  <si>
    <t>https://wiki.biligame.com/rocom/%E8%A3%98%E6%B4%9B</t>
  </si>
  <si>
    <t>NO.317</t>
  </si>
  <si>
    <t>星尘虫</t>
  </si>
  <si>
    <t>https://wiki.biligame.com/rocom/%E6%98%9F%E5%B0%98%E8%99%AB</t>
  </si>
  <si>
    <t>NO.044</t>
  </si>
  <si>
    <t>丢丢</t>
  </si>
  <si>
    <t>https://wiki.biligame.com/rocom/%E4%B8%A2%E4%B8%A2%EF%BC%88%E8%8D%89%E5%9C%B0%E9%99%84%E8%BF%91%E7%9A%84%E6%A0%B7%E5%AD%90%EF%BC%89</t>
  </si>
  <si>
    <t>NO.128</t>
  </si>
  <si>
    <t>哭哭菇</t>
  </si>
  <si>
    <t>https://wiki.biligame.com/rocom/%E5%93%AD%E5%93%AD%E8%8F%87</t>
  </si>
  <si>
    <t>NO.082</t>
  </si>
  <si>
    <t>一窝蜂</t>
  </si>
  <si>
    <t>https://wiki.biligame.com/rocom/%E4%B8%80%E7%AA%9D%E8%9C%82</t>
  </si>
  <si>
    <t>NO.032</t>
  </si>
  <si>
    <t>毛毛</t>
  </si>
  <si>
    <t>https://wiki.biligame.com/rocom/%E6%AF%9B%E6%AF%9B</t>
  </si>
  <si>
    <t>种族值</t>
  </si>
  <si>
    <t>速度值</t>
  </si>
  <si>
    <t>精灵</t>
  </si>
  <si>
    <t>115+100</t>
  </si>
  <si>
    <t>兽花蕾(电)</t>
  </si>
  <si>
    <t xml:space="preserve"> 115+50</t>
  </si>
  <si>
    <t>90+80</t>
  </si>
  <si>
    <t>145/70+100</t>
  </si>
  <si>
    <t>105+50</t>
  </si>
  <si>
    <t>100+50</t>
  </si>
  <si>
    <t>75+80</t>
  </si>
  <si>
    <t>权杖-V</t>
  </si>
  <si>
    <t>40+15%*5</t>
  </si>
  <si>
    <t>女王蜂</t>
  </si>
  <si>
    <t>92+20%</t>
  </si>
  <si>
    <t>翠顶夫人 岚鸟 闪电鳗鱼 朔夜伊芙</t>
  </si>
  <si>
    <t>70+50</t>
  </si>
  <si>
    <t>90/115不加速</t>
  </si>
  <si>
    <t>食尘短绒 兽花蕾(萌)</t>
  </si>
  <si>
    <t>110不加速</t>
  </si>
  <si>
    <t>梦想三三</t>
  </si>
  <si>
    <t>100不加速</t>
  </si>
  <si>
    <t>龙息帕尔 帕帕斯卡 化蝶 尖嘴狐仙 海豹船长 千棘盔 燃薪虫</t>
  </si>
  <si>
    <t>恶魔</t>
  </si>
  <si>
    <t>幽灵</t>
  </si>
  <si>
    <t>一般</t>
  </si>
  <si>
    <t>攻</t>
  </si>
  <si>
    <t>防</t>
  </si>
  <si>
    <t>总</t>
  </si>
  <si>
    <t xml:space="preserve">渗透：己方精灵每使用1次武系或地系技能，自己入场时获得攻防+5%。
</t>
  </si>
  <si>
    <t>渗透：己方精灵每使用1次武系或地系技能，自己入场时获得攻防+5%。
御驾亲征：棋契陛下大幅提升种族资质，力竭时扣除4魔力。</t>
  </si>
  <si>
    <t>速</t>
  </si>
  <si>
    <t>=IFS(
A1&gt;=160,"S+",
A1&gt;=140,"S",
A1&gt;=120,"A",
A1&gt;=100,"B",
TRUE,"C"
)</t>
  </si>
  <si>
    <t xml:space="preserve">=IFS(A1&gt;=160,"S+",A1&gt;=140,"S",A1&gt;=120,"A",A1&gt;=100,"B",TRUE,"C")
</t>
  </si>
  <si>
    <t>=IFS(A1&gt;=160,"S+",A1&gt;=140,"S",A1&gt;=120,"A",A1&gt;=100,"B",TRUE,"C")</t>
  </si>
  <si>
    <t>=IFS(I2&gt;=160,"S+",I2&gt;=140,"S",I2&gt;=120,"A",I2&gt;=100,"B",TRUE,"C")</t>
  </si>
  <si>
    <t>=IF(A1&gt;=160,"S+",IF(A1&gt;=140,"S",IF(A1&gt;=120,"A",IF(A1&gt;=100,"B","C"))))</t>
  </si>
  <si>
    <t>=</t>
  </si>
  <si>
    <t>强度排序</t>
  </si>
  <si>
    <r>
      <rPr>
        <b val="0"/>
        <i val="0"/>
        <strike val="0"/>
        <color rgb="FF000000"/>
        <sz val="11"/>
        <u val="none"/>
      </rPr>
      <t xml:space="preserve">噼啪鸟 </t>
    </r>
    <r>
      <rPr>
        <b val="1"/>
        <i val="0"/>
        <strike val="0"/>
        <color rgb="FF000000"/>
        <sz val="11"/>
        <u val="none"/>
      </rPr>
      <t>黑猫巫师</t>
    </r>
  </si>
  <si>
    <r>
      <rPr>
        <b val="1"/>
        <i val="0"/>
        <strike val="0"/>
        <color rgb="FF000000"/>
        <sz val="11"/>
        <u val="none"/>
      </rPr>
      <t>卡瓦重(冰) 星光狮 厉毒修萝</t>
    </r>
    <r>
      <rPr>
        <b val="0"/>
        <i val="0"/>
        <strike val="0"/>
        <color rgb="FF000000"/>
        <sz val="11"/>
        <u val="none"/>
      </rPr>
      <t xml:space="preserve"> 魔眷鸟</t>
    </r>
  </si>
  <si>
    <r>
      <rPr>
        <b val="1"/>
        <i val="0"/>
        <strike val="0"/>
        <color rgb="FF000000"/>
        <sz val="11"/>
        <u val="none"/>
      </rPr>
      <t>秩序鱿墨 落陨星兔 火神</t>
    </r>
    <r>
      <rPr>
        <b val="0"/>
        <i val="0"/>
        <strike val="0"/>
        <color rgb="FF000000"/>
        <sz val="11"/>
        <u val="none"/>
      </rPr>
      <t xml:space="preserve"> 影狸</t>
    </r>
  </si>
  <si>
    <r>
      <rPr>
        <b val="1"/>
        <i val="0"/>
        <strike val="0"/>
        <color rgb="FF000000"/>
        <sz val="11"/>
        <u val="none"/>
      </rPr>
      <t>圣羽翼王</t>
    </r>
    <r>
      <rPr>
        <b val="1"/>
        <i val="0"/>
        <strike val="0"/>
        <color rgb="FF000000"/>
        <sz val="11"/>
        <u val="none"/>
      </rPr>
      <t xml:space="preserve"> 裘卡</t>
    </r>
    <r>
      <rPr>
        <b val="0"/>
        <i val="0"/>
        <strike val="0"/>
        <color rgb="FF000000"/>
        <sz val="11"/>
        <u val="none"/>
      </rPr>
      <t xml:space="preserve"> 暮星辰 电球咩咩 电企鹅 雅丹鬃 皇家狮鹫(山地) 龙鱼</t>
    </r>
  </si>
  <si>
    <r>
      <rPr>
        <b val="1"/>
        <i val="0"/>
        <strike val="0"/>
        <color rgb="FF000000"/>
        <sz val="11"/>
        <u val="none"/>
      </rPr>
      <t>恶魔狼 音速犬 海枝枝(绿)</t>
    </r>
    <r>
      <rPr>
        <b val="1"/>
        <i val="0"/>
        <strike val="0"/>
        <color rgb="FF000000"/>
        <sz val="11"/>
        <u val="none"/>
      </rPr>
      <t xml:space="preserve"> 咔咔鸟</t>
    </r>
  </si>
  <si>
    <r>
      <rPr>
        <b val="1"/>
        <i val="0"/>
        <strike val="0"/>
        <color rgb="FF000000"/>
        <sz val="11"/>
        <u val="none"/>
      </rPr>
      <t>利灯鱼</t>
    </r>
    <r>
      <rPr>
        <b val="0"/>
        <i val="0"/>
        <strike val="0"/>
        <color rgb="FF000000"/>
        <sz val="11"/>
        <u val="none"/>
      </rPr>
      <t xml:space="preserve"> 针叶巡林</t>
    </r>
  </si>
</sst>
</file>

<file path=xl/styles.xml><?xml version="1.0" encoding="utf-8"?>
<styleSheet xmlns="http://schemas.openxmlformats.org/spreadsheetml/2006/main">
  <numFmts count="3">
    <numFmt numFmtId="300" formatCode="0.00_ "/>
    <numFmt numFmtId="301" formatCode="0_ "/>
    <numFmt numFmtId="302" formatCode="General"/>
  </numFmts>
  <fonts count="12">
    <font>
      <name val="Calibri"/>
      <color rgb="ff000000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</font>
    <font>
      <b val="1"/>
    </font>
    <font/>
    <font/>
    <font>
      <name val="SimHei"/>
      <b val="1"/>
      <sz val="10"/>
    </font>
    <font>
      <name val="SimHei"/>
      <sz val="10"/>
    </font>
    <font>
      <name val="Calibri"/>
      <color rgb="ff000000"/>
      <sz val="11"/>
    </font>
  </fonts>
  <fills count="2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C5CAD3"/>
      </patternFill>
    </fill>
    <fill>
      <patternFill patternType="solid">
        <fgColor rgb="FFC5CAD3"/>
      </patternFill>
    </fill>
    <fill>
      <patternFill patternType="solid">
        <fgColor rgb="FFF2C7FF"/>
      </patternFill>
    </fill>
    <fill>
      <patternFill patternType="solid">
        <fgColor rgb="FFF2C7FF"/>
      </patternFill>
    </fill>
    <fill>
      <patternFill patternType="solid">
        <fgColor rgb="FFFFEEAD"/>
      </patternFill>
    </fill>
    <fill>
      <patternFill patternType="solid">
        <fgColor rgb="FFFFEEAD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C7DCFF"/>
      </patternFill>
    </fill>
    <fill>
      <patternFill patternType="solid">
        <fgColor rgb="FFC7DCFF"/>
      </patternFill>
    </fill>
    <fill>
      <patternFill patternType="solid">
        <fgColor rgb="FFF2C7FF"/>
      </patternFill>
    </fill>
    <fill>
      <patternFill patternType="solid">
        <fgColor rgb="FFC7ECFF"/>
      </patternFill>
    </fill>
    <fill>
      <patternFill patternType="none"/>
    </fill>
    <fill>
      <patternFill patternType="solid">
        <fgColor rgb="FFFFEEAD"/>
      </patternFill>
    </fill>
    <fill>
      <patternFill patternType="solid">
        <fgColor rgb="FFC7DCFF"/>
      </patternFill>
    </fill>
    <fill>
      <patternFill patternType="none"/>
    </fill>
    <fill>
      <patternFill patternType="solid">
        <fgColor rgb="FFF2C7FF"/>
      </patternFill>
    </fill>
    <fill>
      <patternFill patternType="solid">
        <fgColor rgb="FFC7ECFF"/>
      </patternFill>
    </fill>
    <fill>
      <patternFill patternType="solid">
        <fgColor rgb="FFFFEEAD"/>
      </patternFill>
    </fill>
    <fill>
      <patternFill patternType="solid">
        <fgColor rgb="FFC7DCFF"/>
      </patternFill>
    </fill>
    <fill>
      <patternFill patternType="solid">
        <fgColor rgb="FFC5CAD3"/>
      </patternFill>
    </fill>
    <fill>
      <patternFill patternType="solid">
        <fgColor rgb="FFC3EAD5"/>
      </patternFill>
    </fill>
    <fill>
      <patternFill patternType="solid">
        <fgColor rgb="FFC3EAD5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>
    <xf numFmtId="302" fontId="11" fillId="0" borderId="0" xfId="0" applyNumberFormat="0" applyFont="1" applyFill="0" applyBorder="0" applyAlignment="1" applyProtection="0">
      <alignment vertical="bottom"/>
    </xf>
  </cellStyleXfs>
  <cellXfs count="26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bottom"/>
    </xf>
    <xf numFmtId="49" fontId="3" fillId="2" borderId="1" xfId="0" applyNumberFormat="1" applyFont="1" applyFill="1" applyBorder="1" applyAlignment="1">
      <alignment horizontal="center" vertical="top"/>
    </xf>
    <xf numFmtId="300" fontId="3" fillId="2" borderId="1" xfId="0" applyNumberFormat="1" applyFont="1" applyFill="1" applyBorder="1" applyAlignment="1">
      <alignment horizontal="center" vertical="top"/>
    </xf>
    <xf numFmtId="301" fontId="3" fillId="2" borderId="1" xfId="0" applyNumberFormat="1" applyFont="1" applyFill="1" applyBorder="1" applyAlignment="1">
      <alignment horizontal="center" vertical="top"/>
    </xf>
    <xf numFmtId="301" fontId="4" fillId="2" borderId="2" xfId="0">
      <alignment horizontal="center" vertical="top"/>
    </xf>
    <xf numFmtId="301" fontId="0" fillId="0" borderId="0" xfId="0">
      <alignment vertical="bottom"/>
    </xf>
    <xf numFmtId="301" fontId="0" fillId="3" borderId="0" xfId="0">
      <alignment vertical="bottom"/>
    </xf>
    <xf numFmtId="301" fontId="0" fillId="0" borderId="0" xfId="0">
      <alignment vertical="bottom"/>
    </xf>
    <xf numFmtId="49" fontId="11" fillId="3" borderId="3" xfId="0" applyNumberFormat="1" applyFill="1" applyBorder="1">
      <alignment vertical="bottom"/>
    </xf>
    <xf numFmtId="49" fontId="5" fillId="3" borderId="3" xfId="0" applyNumberFormat="1" applyFont="1" applyFill="1" applyBorder="1">
      <alignment vertical="bottom"/>
    </xf>
    <xf numFmtId="0" fontId="11" fillId="3" borderId="3" xfId="0" applyNumberFormat="1" applyFill="1" applyBorder="1" applyAlignment="1">
      <alignment horizontal="center"/>
    </xf>
    <xf numFmtId="301" fontId="11" fillId="3" borderId="3" xfId="0" applyNumberFormat="1" applyFill="1" applyBorder="1" applyAlignment="1">
      <alignment horizontal="center"/>
    </xf>
    <xf numFmtId="0" fontId="0" fillId="2" borderId="3" xfId="0">
      <alignment horizontal="center"/>
    </xf>
    <xf numFmtId="301" fontId="0" fillId="2" borderId="3" xfId="0">
      <alignment horizontal="center"/>
    </xf>
    <xf numFmtId="0" fontId="0" fillId="3" borderId="3" xfId="0">
      <alignment horizontal="center"/>
    </xf>
    <xf fontId="0" fillId="4" borderId="0" xfId="0">
      <alignment vertical="bottom"/>
    </xf>
    <xf numFmtId="301" fontId="0" fillId="5" borderId="0" xfId="0">
      <alignment vertical="bottom"/>
    </xf>
    <xf numFmtId="0" fontId="0" fillId="5" borderId="0" xfId="0">
      <alignment vertical="bottom"/>
    </xf>
    <xf numFmtId="49" fontId="11" fillId="3" borderId="4" xfId="0" applyNumberFormat="1" applyFill="1" applyBorder="1">
      <alignment vertical="bottom"/>
    </xf>
    <xf numFmtId="0" fontId="11" fillId="3" borderId="4" xfId="0" applyNumberFormat="1" applyFill="1" applyBorder="1" applyAlignment="1">
      <alignment horizontal="center"/>
    </xf>
    <xf numFmtId="301" fontId="11" fillId="3" borderId="4" xfId="0" applyNumberFormat="1" applyFill="1" applyBorder="1" applyAlignment="1">
      <alignment horizontal="center"/>
    </xf>
    <xf numFmtId="49" fontId="11" fillId="3" borderId="5" xfId="0" applyNumberFormat="1" applyFill="1" applyBorder="1">
      <alignment vertical="bottom"/>
    </xf>
    <xf numFmtId="49" fontId="11" fillId="3" borderId="6" xfId="0" applyNumberFormat="1" applyFill="1" applyBorder="1">
      <alignment vertical="bottom"/>
    </xf>
    <xf numFmtId="0" fontId="11" fillId="3" borderId="6" xfId="0" applyNumberFormat="1" applyFill="1" applyBorder="1" applyAlignment="1">
      <alignment horizontal="center"/>
    </xf>
    <xf numFmtId="301" fontId="11" fillId="3" borderId="6" xfId="0" applyNumberFormat="1" applyFill="1" applyBorder="1" applyAlignment="1">
      <alignment horizontal="center"/>
    </xf>
    <xf numFmtId="301" fontId="11" fillId="3" borderId="5" xfId="0" applyNumberFormat="1" applyFill="1" applyBorder="1" applyAlignment="1">
      <alignment horizontal="center"/>
    </xf>
    <xf numFmtId="0" fontId="0" fillId="3" borderId="7" xfId="0">
      <alignment horizontal="center"/>
    </xf>
    <xf numFmtId="49" fontId="11" fillId="6" borderId="6" xfId="0" applyNumberFormat="1" applyFill="1" applyBorder="1">
      <alignment vertical="bottom"/>
    </xf>
    <xf numFmtId="0" fontId="11" fillId="6" borderId="6" xfId="0" applyNumberFormat="1" applyFill="1" applyBorder="1" applyAlignment="1">
      <alignment horizontal="center"/>
    </xf>
    <xf numFmtId="301" fontId="11" fillId="6" borderId="6" xfId="0" applyNumberFormat="1" applyFill="1" applyBorder="1" applyAlignment="1">
      <alignment horizontal="center"/>
    </xf>
    <xf numFmtId="301" fontId="11" fillId="6" borderId="5" xfId="0" applyNumberFormat="1" applyFill="1" applyBorder="1" applyAlignment="1">
      <alignment horizontal="center"/>
    </xf>
    <xf numFmtId="0" fontId="0" fillId="7" borderId="3" xfId="0">
      <alignment horizontal="center"/>
    </xf>
    <xf numFmtId="301" fontId="0" fillId="7" borderId="3" xfId="0">
      <alignment horizontal="center"/>
    </xf>
    <xf numFmtId="0" fontId="0" fillId="6" borderId="3" xfId="0">
      <alignment horizontal="center"/>
    </xf>
    <xf numFmtId="49" fontId="5" fillId="3" borderId="6" xfId="0" applyNumberFormat="1" applyFont="1" applyFill="1" applyBorder="1">
      <alignment vertical="bottom"/>
    </xf>
    <xf numFmtId="49" fontId="11" fillId="0" borderId="6" xfId="0" applyNumberFormat="1" applyBorder="1">
      <alignment vertical="bottom"/>
    </xf>
    <xf numFmtId="0" fontId="11" fillId="0" borderId="6" xfId="0" applyNumberFormat="1" applyBorder="1" applyAlignment="1">
      <alignment horizontal="center"/>
    </xf>
    <xf numFmtId="301" fontId="11" fillId="0" borderId="5" xfId="0" applyNumberFormat="1" applyBorder="1" applyAlignment="1">
      <alignment horizontal="center"/>
    </xf>
    <xf numFmtId="301" fontId="0" fillId="3" borderId="3" xfId="0">
      <alignment horizontal="center"/>
    </xf>
    <xf numFmtId="301" fontId="0" fillId="0" borderId="7" xfId="0">
      <alignment horizontal="center"/>
    </xf>
    <xf numFmtId="301" fontId="0" fillId="7" borderId="0" xfId="0">
      <alignment vertical="bottom"/>
    </xf>
    <xf numFmtId="0" fontId="0" fillId="7" borderId="0" xfId="0">
      <alignment vertical="bottom"/>
    </xf>
    <xf numFmtId="49" fontId="11" fillId="8" borderId="6" xfId="0" applyNumberFormat="1" applyFill="1" applyBorder="1">
      <alignment vertical="bottom"/>
    </xf>
    <xf numFmtId="0" fontId="11" fillId="8" borderId="6" xfId="0" applyNumberFormat="1" applyFill="1" applyBorder="1" applyAlignment="1">
      <alignment horizontal="center"/>
    </xf>
    <xf numFmtId="301" fontId="11" fillId="8" borderId="6" xfId="0" applyNumberFormat="1" applyFill="1" applyBorder="1" applyAlignment="1">
      <alignment horizontal="center"/>
    </xf>
    <xf numFmtId="301" fontId="11" fillId="8" borderId="5" xfId="0" applyNumberFormat="1" applyFill="1" applyBorder="1" applyAlignment="1">
      <alignment horizontal="center"/>
    </xf>
    <xf numFmtId="0" fontId="0" fillId="9" borderId="3" xfId="0">
      <alignment horizontal="center"/>
    </xf>
    <xf numFmtId="301" fontId="0" fillId="9" borderId="3" xfId="0">
      <alignment horizontal="center"/>
    </xf>
    <xf numFmtId="0" fontId="0" fillId="8" borderId="3" xfId="0">
      <alignment horizontal="center"/>
    </xf>
    <xf numFmtId="301" fontId="0" fillId="9" borderId="0" xfId="0">
      <alignment vertical="bottom"/>
    </xf>
    <xf numFmtId="0" fontId="0" fillId="9" borderId="0" xfId="0">
      <alignment vertical="bottom"/>
    </xf>
    <xf numFmtId="49" fontId="11" fillId="10" borderId="6" xfId="0" applyNumberFormat="1" applyFill="1" applyBorder="1">
      <alignment vertical="bottom"/>
    </xf>
    <xf numFmtId="0" fontId="11" fillId="10" borderId="6" xfId="0" applyNumberFormat="1" applyFill="1" applyBorder="1" applyAlignment="1">
      <alignment horizontal="center"/>
    </xf>
    <xf numFmtId="301" fontId="11" fillId="10" borderId="6" xfId="0" applyNumberFormat="1" applyFill="1" applyBorder="1" applyAlignment="1">
      <alignment horizontal="center"/>
    </xf>
    <xf numFmtId="301" fontId="11" fillId="10" borderId="5" xfId="0" applyNumberFormat="1" applyFill="1" applyBorder="1" applyAlignment="1">
      <alignment horizontal="center"/>
    </xf>
    <xf numFmtId="0" fontId="0" fillId="11" borderId="3" xfId="0">
      <alignment horizontal="center"/>
    </xf>
    <xf numFmtId="301" fontId="0" fillId="11" borderId="3" xfId="0">
      <alignment horizontal="center"/>
    </xf>
    <xf numFmtId="0" fontId="0" fillId="10" borderId="7" xfId="0">
      <alignment horizontal="center"/>
    </xf>
    <xf numFmtId="301" fontId="0" fillId="11" borderId="0" xfId="0">
      <alignment vertical="bottom"/>
    </xf>
    <xf numFmtId="0" fontId="0" fillId="11" borderId="0" xfId="0">
      <alignment vertical="bottom"/>
    </xf>
    <xf numFmtId="0" fontId="0" fillId="6" borderId="7" xfId="0">
      <alignment horizontal="center"/>
    </xf>
    <xf numFmtId="0" fontId="0" fillId="8" borderId="7" xfId="0">
      <alignment horizontal="center"/>
    </xf>
    <xf numFmtId="49" fontId="5" fillId="6" borderId="6" xfId="0" applyNumberFormat="1" applyFont="1" applyFill="1" applyBorder="1">
      <alignment vertical="bottom"/>
    </xf>
    <xf numFmtId="0" fontId="0" fillId="10" borderId="3" xfId="0">
      <alignment horizontal="center"/>
    </xf>
    <xf numFmtId="49" fontId="11" fillId="12" borderId="6" xfId="0" applyNumberFormat="1" applyFill="1" applyBorder="1">
      <alignment vertical="bottom"/>
    </xf>
    <xf numFmtId="0" fontId="11" fillId="12" borderId="6" xfId="0" applyNumberFormat="1" applyFill="1" applyBorder="1" applyAlignment="1">
      <alignment horizontal="center"/>
    </xf>
    <xf numFmtId="301" fontId="11" fillId="12" borderId="6" xfId="0" applyNumberFormat="1" applyFill="1" applyBorder="1" applyAlignment="1">
      <alignment horizontal="center"/>
    </xf>
    <xf numFmtId="301" fontId="11" fillId="12" borderId="5" xfId="0" applyNumberFormat="1" applyFill="1" applyBorder="1" applyAlignment="1">
      <alignment horizontal="center"/>
    </xf>
    <xf numFmtId="0" fontId="0" fillId="13" borderId="3" xfId="0">
      <alignment horizontal="center"/>
    </xf>
    <xf numFmtId="301" fontId="0" fillId="13" borderId="3" xfId="0">
      <alignment horizontal="center"/>
    </xf>
    <xf numFmtId="0" fontId="0" fillId="12" borderId="7" xfId="0">
      <alignment horizontal="center"/>
    </xf>
    <xf numFmtId="301" fontId="0" fillId="13" borderId="0" xfId="0">
      <alignment vertical="bottom"/>
    </xf>
    <xf numFmtId="0" fontId="0" fillId="13" borderId="0" xfId="0">
      <alignment vertical="bottom"/>
    </xf>
    <xf numFmtId="301" fontId="0" fillId="0" borderId="3" xfId="0">
      <alignment horizontal="center"/>
    </xf>
    <xf numFmtId="49" fontId="5" fillId="8" borderId="6" xfId="0" applyNumberFormat="1" applyFont="1" applyFill="1" applyBorder="1">
      <alignment vertical="bottom"/>
    </xf>
    <xf numFmtId="49" fontId="0" fillId="10" borderId="6" xfId="0">
      <alignment vertical="bottom"/>
    </xf>
    <xf numFmtId="0" fontId="0" fillId="0" borderId="7" xfId="0">
      <alignment horizontal="center"/>
    </xf>
    <xf fontId="0" fillId="0" borderId="0" xfId="0">
      <alignment horizontal="center"/>
    </xf>
    <xf fontId="6" fillId="0" borderId="0" xfId="0">
      <alignment horizontal="center"/>
    </xf>
    <xf fontId="7" fillId="0" borderId="0" xfId="0">
      <alignment horizontal="center"/>
    </xf>
    <xf fontId="8" fillId="0" borderId="0" xfId="0">
      <alignment horizontal="center"/>
    </xf>
    <xf fontId="9" fillId="0" borderId="2" xfId="0">
      <alignment horizontal="center" vertical="bottom"/>
    </xf>
    <xf fontId="9" fillId="0" borderId="2" xfId="0">
      <alignment horizontal="center" vertical="top" textRotation="0" indent="0" justifyLastLine="0" shrinkToFit="0"/>
    </xf>
    <xf fontId="9" fillId="0" borderId="2" xfId="0">
      <alignment horizontal="center" vertical="top" textRotation="0" indent="0" justifyLastLine="0" shrinkToFit="0"/>
    </xf>
    <xf fontId="10" fillId="0" borderId="2" xfId="0">
      <alignment horizontal="center" vertical="bottom"/>
    </xf>
    <xf fontId="10" fillId="0" borderId="2" xfId="0">
      <alignment horizontal="center" vertical="bottom" textRotation="0" indent="0" justifyLastLine="0" shrinkToFit="0"/>
    </xf>
    <xf fontId="10" fillId="0" borderId="2" xfId="0">
      <alignment horizontal="center" vertical="center" textRotation="0" indent="0" justifyLastLine="0" shrinkToFit="0"/>
    </xf>
    <xf numFmtId="49" fontId="5" fillId="6" borderId="6" xfId="0" applyNumberFormat="1" applyFont="1" applyFill="1" applyBorder="1" applyAlignment="1">
      <alignment wrapText="1"/>
    </xf>
    <xf numFmtId="49" fontId="11" fillId="0" borderId="4" xfId="0" applyNumberFormat="1" applyBorder="1">
      <alignment vertical="bottom"/>
    </xf>
    <xf numFmtId="49" fontId="11" fillId="0" borderId="3" xfId="0" applyNumberFormat="1" applyBorder="1">
      <alignment vertical="bottom"/>
    </xf>
    <xf numFmtId="0" fontId="11" fillId="0" borderId="4" xfId="0" applyNumberFormat="1" applyBorder="1" applyAlignment="1">
      <alignment horizontal="center"/>
    </xf>
    <xf numFmtId="0" fontId="11" fillId="0" borderId="3" xfId="0" applyNumberFormat="1" applyBorder="1" applyAlignment="1">
      <alignment horizontal="center"/>
    </xf>
    <xf numFmtId="301" fontId="11" fillId="0" borderId="4" xfId="0" applyNumberFormat="1" applyBorder="1" applyAlignment="1">
      <alignment horizontal="center"/>
    </xf>
    <xf numFmtId="301" fontId="11" fillId="0" borderId="3" xfId="0" applyNumberFormat="1" applyBorder="1" applyAlignment="1">
      <alignment horizontal="center"/>
    </xf>
    <xf numFmtId="0" fontId="0" fillId="0" borderId="3" xfId="0">
      <alignment horizontal="center"/>
    </xf>
    <xf numFmtId="49" fontId="11" fillId="0" borderId="5" xfId="0" applyNumberFormat="1" applyBorder="1">
      <alignment vertical="bottom"/>
    </xf>
    <xf numFmtId="0" fontId="0" fillId="12" borderId="3" xfId="0">
      <alignment horizontal="center"/>
    </xf>
    <xf numFmtId="49" fontId="11" fillId="6" borderId="3" xfId="0" applyNumberFormat="1" applyFill="1" applyBorder="1">
      <alignment vertical="bottom"/>
    </xf>
    <xf numFmtId="49" fontId="5" fillId="6" borderId="3" xfId="0" applyNumberFormat="1" applyFont="1" applyFill="1" applyBorder="1">
      <alignment vertical="bottom"/>
    </xf>
    <xf numFmtId="0" fontId="11" fillId="6" borderId="3" xfId="0" applyNumberFormat="1" applyFill="1" applyBorder="1" applyAlignment="1">
      <alignment horizontal="center"/>
    </xf>
    <xf numFmtId="301" fontId="11" fillId="6" borderId="3" xfId="0" applyNumberFormat="1" applyFill="1" applyBorder="1" applyAlignment="1">
      <alignment horizontal="center"/>
    </xf>
    <xf fontId="0" fillId="6" borderId="0" xfId="0">
      <alignment vertical="bottom"/>
    </xf>
    <xf numFmtId="49" fontId="11" fillId="10" borderId="3" xfId="0" applyNumberFormat="1" applyFill="1" applyBorder="1">
      <alignment vertical="bottom"/>
    </xf>
    <xf numFmtId="0" fontId="11" fillId="10" borderId="3" xfId="0" applyNumberFormat="1" applyFill="1" applyBorder="1" applyAlignment="1">
      <alignment horizontal="center"/>
    </xf>
    <xf numFmtId="301" fontId="11" fillId="10" borderId="3" xfId="0" applyNumberFormat="1" applyFill="1" applyBorder="1" applyAlignment="1">
      <alignment horizontal="center"/>
    </xf>
    <xf fontId="0" fillId="10" borderId="0" xfId="0">
      <alignment vertical="bottom"/>
    </xf>
    <xf fontId="0" fillId="6" borderId="0" xfId="0">
      <alignment vertical="bottom"/>
    </xf>
    <xf numFmtId="49" fontId="11" fillId="6" borderId="4" xfId="0" applyNumberFormat="1" applyFill="1" applyBorder="1">
      <alignment vertical="bottom"/>
    </xf>
    <xf numFmtId="0" fontId="11" fillId="6" borderId="4" xfId="0" applyNumberFormat="1" applyFill="1" applyBorder="1" applyAlignment="1">
      <alignment horizontal="center"/>
    </xf>
    <xf numFmtId="301" fontId="11" fillId="6" borderId="4" xfId="0" applyNumberFormat="1" applyFill="1" applyBorder="1" applyAlignment="1">
      <alignment horizontal="center"/>
    </xf>
    <xf numFmtId="49" fontId="11" fillId="6" borderId="5" xfId="0" applyNumberFormat="1" applyFill="1" applyBorder="1">
      <alignment vertical="bottom"/>
    </xf>
    <xf numFmtId="0" fontId="0" fillId="11" borderId="7" xfId="0">
      <alignment horizontal="center"/>
    </xf>
    <xf numFmtId="0" fontId="0" fillId="7" borderId="7" xfId="0">
      <alignment horizontal="center"/>
    </xf>
    <xf numFmtId="49" fontId="4" fillId="2" borderId="2" xfId="0" applyNumberFormat="1" applyFont="1" applyFill="1" applyBorder="1" applyAlignment="1">
      <alignment horizontal="center" vertical="top"/>
    </xf>
    <xf numFmtId="49" fontId="0" fillId="7" borderId="3" xfId="0">
      <alignment vertical="bottom"/>
    </xf>
    <xf numFmtId="49" fontId="0" fillId="11" borderId="8" xfId="0">
      <alignment vertical="bottom"/>
    </xf>
    <xf numFmtId="49" fontId="11" fillId="3" borderId="8" xfId="0" applyNumberFormat="1" applyFill="1" applyBorder="1">
      <alignment vertical="bottom"/>
    </xf>
    <xf numFmtId="49" fontId="11" fillId="6" borderId="8" xfId="0" applyNumberFormat="1" applyFill="1" applyBorder="1">
      <alignment vertical="bottom"/>
    </xf>
    <xf numFmtId="49" fontId="11" fillId="0" borderId="8" xfId="0" applyNumberFormat="1" applyBorder="1">
      <alignment vertical="bottom"/>
    </xf>
    <xf numFmtId="49" fontId="11" fillId="8" borderId="8" xfId="0" applyNumberFormat="1" applyFill="1" applyBorder="1">
      <alignment vertical="bottom"/>
    </xf>
    <xf numFmtId="49" fontId="11" fillId="12" borderId="8" xfId="0" applyNumberFormat="1" applyFill="1" applyBorder="1">
      <alignment vertical="bottom"/>
    </xf>
    <xf numFmtId="49" fontId="11" fillId="10" borderId="8" xfId="0" applyNumberFormat="1" applyFill="1" applyBorder="1">
      <alignment vertical="bottom"/>
    </xf>
    <xf numFmtId="49" fontId="0" fillId="7" borderId="8" xfId="0">
      <alignment vertical="bottom"/>
    </xf>
    <xf numFmtId="301" fontId="0" fillId="6" borderId="3" xfId="0">
      <alignment horizontal="center"/>
    </xf>
    <xf numFmtId="301" fontId="0" fillId="14" borderId="3" xfId="0">
      <alignment horizontal="center"/>
    </xf>
    <xf numFmtId="301" fontId="0" fillId="15" borderId="3" xfId="0">
      <alignment horizontal="center"/>
    </xf>
    <xf numFmtId="301" fontId="0" fillId="16" borderId="3" xfId="0">
      <alignment horizontal="center"/>
    </xf>
    <xf numFmtId="301" fontId="0" fillId="17" borderId="3" xfId="0">
      <alignment horizontal="center"/>
    </xf>
    <xf numFmtId="301" fontId="0" fillId="18" borderId="3" xfId="0">
      <alignment horizontal="center"/>
    </xf>
    <xf numFmtId="301" fontId="0" fillId="19" borderId="3" xfId="0">
      <alignment horizontal="center"/>
    </xf>
    <xf numFmtId="49" fontId="0" fillId="7" borderId="3" xfId="0">
      <alignment wrapText="1"/>
    </xf>
    <xf numFmtId="301" fontId="0" fillId="3" borderId="0" xfId="0">
      <alignment vertical="bottom"/>
    </xf>
    <xf numFmtId="49" fontId="0" fillId="2" borderId="3" xfId="0">
      <alignment wrapText="1"/>
    </xf>
    <xf numFmtId="49" fontId="0" fillId="2" borderId="3" xfId="0">
      <alignment vertical="bottom"/>
    </xf>
    <xf fontId="0" fillId="3" borderId="0" xfId="0">
      <alignment vertical="bottom"/>
    </xf>
    <xf numFmtId="301" fontId="0" fillId="2" borderId="0" xfId="0">
      <alignment vertical="bottom"/>
    </xf>
    <xf numFmtId="0" fontId="0" fillId="2" borderId="0" xfId="0">
      <alignment vertical="bottom"/>
    </xf>
    <xf fontId="0" fillId="3" borderId="0" xfId="0">
      <alignment vertical="bottom"/>
    </xf>
    <xf fontId="0" fillId="2" borderId="0" xfId="0">
      <alignment vertical="bottom"/>
    </xf>
    <xf numFmtId="49" fontId="5" fillId="3" borderId="6" xfId="0" applyNumberFormat="1" applyFont="1" applyFill="1" applyBorder="1" applyAlignment="1">
      <alignment wrapText="1"/>
    </xf>
    <xf numFmtId="49" fontId="0" fillId="2" borderId="8" xfId="0">
      <alignment vertical="bottom"/>
    </xf>
    <xf numFmtId="301" fontId="0" fillId="3" borderId="7" xfId="0">
      <alignment horizontal="center"/>
    </xf>
    <xf numFmtId="49" fontId="0" fillId="3" borderId="6" xfId="0">
      <alignment vertical="bottom"/>
    </xf>
    <xf numFmtId="49" fontId="11" fillId="20" borderId="6" xfId="0" applyNumberFormat="1" applyFill="1" applyBorder="1">
      <alignment vertical="bottom"/>
    </xf>
    <xf numFmtId="0" fontId="11" fillId="20" borderId="6" xfId="0" applyNumberFormat="1" applyFill="1" applyBorder="1" applyAlignment="1">
      <alignment horizontal="center"/>
    </xf>
    <xf numFmtId="301" fontId="11" fillId="20" borderId="6" xfId="0" applyNumberFormat="1" applyFill="1" applyBorder="1" applyAlignment="1">
      <alignment horizontal="center"/>
    </xf>
    <xf numFmtId="301" fontId="11" fillId="20" borderId="5" xfId="0" applyNumberFormat="1" applyFill="1" applyBorder="1" applyAlignment="1">
      <alignment horizontal="center"/>
    </xf>
    <xf numFmtId="0" fontId="0" fillId="14" borderId="3" xfId="0">
      <alignment horizontal="center"/>
    </xf>
    <xf numFmtId="0" fontId="0" fillId="20" borderId="3" xfId="0">
      <alignment horizontal="center"/>
    </xf>
    <xf numFmtId="49" fontId="0" fillId="14" borderId="8" xfId="0">
      <alignment vertical="bottom"/>
    </xf>
    <xf fontId="0" fillId="20" borderId="0" xfId="0">
      <alignment vertical="bottom"/>
    </xf>
    <xf numFmtId="49" fontId="11" fillId="19" borderId="6" xfId="0" applyNumberFormat="1" applyFill="1" applyBorder="1">
      <alignment vertical="bottom"/>
    </xf>
    <xf numFmtId="0" fontId="11" fillId="19" borderId="6" xfId="0" applyNumberFormat="1" applyFill="1" applyBorder="1" applyAlignment="1">
      <alignment horizontal="center"/>
    </xf>
    <xf numFmtId="301" fontId="11" fillId="19" borderId="6" xfId="0" applyNumberFormat="1" applyFill="1" applyBorder="1" applyAlignment="1">
      <alignment horizontal="center"/>
    </xf>
    <xf numFmtId="301" fontId="11" fillId="19" borderId="5" xfId="0" applyNumberFormat="1" applyFill="1" applyBorder="1" applyAlignment="1">
      <alignment horizontal="center"/>
    </xf>
    <xf numFmtId="0" fontId="0" fillId="16" borderId="3" xfId="0">
      <alignment horizontal="center"/>
    </xf>
    <xf numFmtId="0" fontId="0" fillId="19" borderId="3" xfId="0">
      <alignment horizontal="center"/>
    </xf>
    <xf numFmtId="49" fontId="11" fillId="19" borderId="8" xfId="0" applyNumberFormat="1" applyFill="1" applyBorder="1">
      <alignment vertical="bottom"/>
    </xf>
    <xf numFmtId="0" fontId="0" fillId="20" borderId="7" xfId="0">
      <alignment horizontal="center"/>
    </xf>
    <xf numFmtId="49" fontId="11" fillId="20" borderId="8" xfId="0" applyNumberFormat="1" applyFill="1" applyBorder="1">
      <alignment vertical="bottom"/>
    </xf>
    <xf numFmtId="49" fontId="11" fillId="21" borderId="6" xfId="0" applyNumberFormat="1" applyFill="1" applyBorder="1">
      <alignment vertical="bottom"/>
    </xf>
    <xf numFmtId="0" fontId="11" fillId="21" borderId="6" xfId="0" applyNumberFormat="1" applyFill="1" applyBorder="1" applyAlignment="1">
      <alignment horizontal="center"/>
    </xf>
    <xf numFmtId="301" fontId="11" fillId="21" borderId="6" xfId="0" applyNumberFormat="1" applyFill="1" applyBorder="1" applyAlignment="1">
      <alignment horizontal="center"/>
    </xf>
    <xf numFmtId="301" fontId="11" fillId="21" borderId="5" xfId="0" applyNumberFormat="1" applyFill="1" applyBorder="1" applyAlignment="1">
      <alignment horizontal="center"/>
    </xf>
    <xf numFmtId="0" fontId="0" fillId="15" borderId="3" xfId="0">
      <alignment horizontal="center"/>
    </xf>
    <xf numFmtId="0" fontId="0" fillId="21" borderId="7" xfId="0">
      <alignment horizontal="center"/>
    </xf>
    <xf numFmtId="49" fontId="0" fillId="15" borderId="8" xfId="0">
      <alignment vertical="bottom"/>
    </xf>
    <xf fontId="0" fillId="21" borderId="0" xfId="0">
      <alignment vertical="bottom"/>
    </xf>
    <xf numFmtId="0" fontId="0" fillId="14" borderId="0" xfId="0">
      <alignment vertical="bottom"/>
    </xf>
    <xf numFmtId="0" fontId="0" fillId="19" borderId="7" xfId="0">
      <alignment horizontal="center"/>
    </xf>
    <xf numFmtId="0" fontId="0" fillId="21" borderId="3" xfId="0">
      <alignment horizontal="center"/>
    </xf>
    <xf numFmtId="0" fontId="0" fillId="15" borderId="0" xfId="0">
      <alignment vertical="bottom"/>
    </xf>
    <xf numFmtId="301" fontId="0" fillId="14" borderId="0" xfId="0">
      <alignment vertical="bottom"/>
    </xf>
    <xf numFmtId="0" fontId="0" fillId="17" borderId="0" xfId="0">
      <alignment vertical="bottom"/>
    </xf>
    <xf numFmtId="301" fontId="0" fillId="17" borderId="0" xfId="0">
      <alignment vertical="bottom"/>
    </xf>
    <xf numFmtId="301" fontId="0" fillId="15" borderId="0" xfId="0">
      <alignment vertical="bottom"/>
    </xf>
    <xf numFmtId="49" fontId="11" fillId="22" borderId="6" xfId="0" applyNumberFormat="1" applyFill="1" applyBorder="1">
      <alignment vertical="bottom"/>
    </xf>
    <xf numFmtId="0" fontId="11" fillId="22" borderId="6" xfId="0" applyNumberFormat="1" applyFill="1" applyBorder="1" applyAlignment="1">
      <alignment horizontal="center"/>
    </xf>
    <xf numFmtId="301" fontId="11" fillId="22" borderId="6" xfId="0" applyNumberFormat="1" applyFill="1" applyBorder="1" applyAlignment="1">
      <alignment horizontal="center"/>
    </xf>
    <xf numFmtId="301" fontId="11" fillId="22" borderId="5" xfId="0" applyNumberFormat="1" applyFill="1" applyBorder="1" applyAlignment="1">
      <alignment horizontal="center"/>
    </xf>
    <xf numFmtId="0" fontId="0" fillId="17" borderId="3" xfId="0">
      <alignment horizontal="center"/>
    </xf>
    <xf numFmtId="0" fontId="0" fillId="22" borderId="3" xfId="0">
      <alignment horizontal="center"/>
    </xf>
    <xf numFmtId="49" fontId="11" fillId="22" borderId="8" xfId="0" applyNumberFormat="1" applyFill="1" applyBorder="1">
      <alignment vertical="bottom"/>
    </xf>
    <xf numFmtId="49" fontId="0" fillId="21" borderId="6" xfId="0">
      <alignment vertical="bottom"/>
    </xf>
    <xf numFmtId="49" fontId="11" fillId="21" borderId="8" xfId="0" applyNumberFormat="1" applyFill="1" applyBorder="1">
      <alignment vertical="bottom"/>
    </xf>
    <xf numFmtId="49" fontId="5" fillId="22" borderId="6" xfId="0" applyNumberFormat="1" applyFont="1" applyFill="1" applyBorder="1">
      <alignment vertical="bottom"/>
    </xf>
    <xf numFmtId="0" fontId="0" fillId="22" borderId="7" xfId="0">
      <alignment horizontal="center"/>
    </xf>
    <xf numFmtId="0" fontId="0" fillId="18" borderId="0" xfId="0">
      <alignment vertical="bottom"/>
    </xf>
    <xf numFmtId="301" fontId="0" fillId="18" borderId="0" xfId="0">
      <alignment vertical="bottom"/>
    </xf>
    <xf numFmtId="49" fontId="11" fillId="23" borderId="6" xfId="0" applyNumberFormat="1" applyFill="1" applyBorder="1">
      <alignment vertical="bottom"/>
    </xf>
    <xf numFmtId="49" fontId="11" fillId="23" borderId="8" xfId="0" applyNumberFormat="1" applyFill="1" applyBorder="1">
      <alignment vertical="bottom"/>
    </xf>
    <xf numFmtId="49" fontId="5" fillId="20" borderId="6" xfId="0" applyNumberFormat="1" applyFont="1" applyFill="1" applyBorder="1">
      <alignment vertical="bottom"/>
    </xf>
    <xf numFmtId="0" fontId="0" fillId="23" borderId="3" xfId="0">
      <alignment horizontal="center"/>
    </xf>
    <xf numFmtId="0" fontId="0" fillId="18" borderId="3" xfId="0">
      <alignment horizontal="center"/>
    </xf>
    <xf numFmtId="301" fontId="11" fillId="23" borderId="5" xfId="0" applyNumberFormat="1" applyFill="1" applyBorder="1" applyAlignment="1">
      <alignment horizontal="center"/>
    </xf>
    <xf numFmtId="301" fontId="11" fillId="23" borderId="6" xfId="0" applyNumberFormat="1" applyFill="1" applyBorder="1" applyAlignment="1">
      <alignment horizontal="center"/>
    </xf>
    <xf numFmtId="0" fontId="11" fillId="23" borderId="6" xfId="0" applyNumberFormat="1" applyFill="1" applyBorder="1" applyAlignment="1">
      <alignment horizontal="center"/>
    </xf>
    <xf numFmtId="301" fontId="0" fillId="24" borderId="0" xfId="0">
      <alignment vertical="bottom"/>
    </xf>
    <xf numFmtId="0" fontId="0" fillId="24" borderId="0" xfId="0">
      <alignment vertical="bottom"/>
    </xf>
    <xf numFmtId="49" fontId="5" fillId="20" borderId="6" xfId="0" applyNumberFormat="1" applyFont="1" applyFill="1" applyBorder="1" applyAlignment="1">
      <alignment wrapText="1"/>
    </xf>
    <xf numFmtId="49" fontId="11" fillId="20" borderId="4" xfId="0" applyNumberFormat="1" applyFill="1" applyBorder="1">
      <alignment vertical="bottom"/>
    </xf>
    <xf numFmtId="0" fontId="11" fillId="20" borderId="4" xfId="0" applyNumberFormat="1" applyFill="1" applyBorder="1" applyAlignment="1">
      <alignment horizontal="center"/>
    </xf>
    <xf numFmtId="301" fontId="11" fillId="20" borderId="4" xfId="0" applyNumberFormat="1" applyFill="1" applyBorder="1" applyAlignment="1">
      <alignment horizontal="center"/>
    </xf>
    <xf numFmtId="49" fontId="11" fillId="20" borderId="5" xfId="0" applyNumberFormat="1" applyFill="1" applyBorder="1">
      <alignment vertical="bottom"/>
    </xf>
    <xf numFmtId="49" fontId="0" fillId="14" borderId="3" xfId="0">
      <alignment vertical="bottom"/>
    </xf>
    <xf numFmtId="49" fontId="11" fillId="20" borderId="3" xfId="0" applyNumberFormat="1" applyFill="1" applyBorder="1">
      <alignment vertical="bottom"/>
    </xf>
    <xf numFmtId="49" fontId="5" fillId="20" borderId="3" xfId="0" applyNumberFormat="1" applyFont="1" applyFill="1" applyBorder="1">
      <alignment vertical="bottom"/>
    </xf>
    <xf numFmtId="0" fontId="11" fillId="20" borderId="3" xfId="0" applyNumberFormat="1" applyFill="1" applyBorder="1" applyAlignment="1">
      <alignment horizontal="center"/>
    </xf>
    <xf numFmtId="301" fontId="11" fillId="20" borderId="3" xfId="0" applyNumberFormat="1" applyFill="1" applyBorder="1" applyAlignment="1">
      <alignment horizontal="center"/>
    </xf>
    <xf numFmtId="49" fontId="0" fillId="14" borderId="3" xfId="0">
      <alignment wrapText="1"/>
    </xf>
    <xf fontId="0" fillId="20" borderId="0" xfId="0">
      <alignment vertical="bottom"/>
    </xf>
    <xf numFmtId="49" fontId="3" fillId="16" borderId="1" xfId="0" applyNumberFormat="1" applyFont="1" applyFill="1" applyBorder="1" applyAlignment="1">
      <alignment horizontal="center" vertical="top"/>
    </xf>
    <xf numFmtId="300" fontId="3" fillId="16" borderId="1" xfId="0" applyNumberFormat="1" applyFont="1" applyFill="1" applyBorder="1" applyAlignment="1">
      <alignment horizontal="center" vertical="top"/>
    </xf>
    <xf numFmtId="301" fontId="3" fillId="16" borderId="1" xfId="0" applyNumberFormat="1" applyFont="1" applyFill="1" applyBorder="1" applyAlignment="1">
      <alignment horizontal="center" vertical="top"/>
    </xf>
    <xf numFmtId="301" fontId="4" fillId="16" borderId="2" xfId="0">
      <alignment horizontal="center" vertical="top"/>
    </xf>
    <xf numFmtId="49" fontId="4" fillId="16" borderId="2" xfId="0" applyNumberFormat="1" applyFont="1" applyFill="1" applyBorder="1" applyAlignment="1">
      <alignment horizontal="center" vertical="top"/>
    </xf>
    <xf numFmtId="301" fontId="0" fillId="19" borderId="0" xfId="0">
      <alignment vertical="bottom"/>
    </xf>
    <xf numFmtId="0" fontId="0" fillId="2" borderId="7" xfId="0">
      <alignment horizontal="center"/>
    </xf>
    <xf numFmtId="0" fontId="0" fillId="9" borderId="7" xfId="0">
      <alignment horizontal="center"/>
    </xf>
    <xf numFmtId="49" fontId="11" fillId="22" borderId="4" xfId="0" applyNumberFormat="1" applyFill="1" applyBorder="1">
      <alignment vertical="bottom"/>
    </xf>
    <xf numFmtId="49" fontId="11" fillId="22" borderId="3" xfId="0" applyNumberFormat="1" applyFill="1" applyBorder="1">
      <alignment vertical="bottom"/>
    </xf>
    <xf numFmtId="0" fontId="11" fillId="22" borderId="4" xfId="0" applyNumberFormat="1" applyFill="1" applyBorder="1" applyAlignment="1">
      <alignment horizontal="center"/>
    </xf>
    <xf numFmtId="0" fontId="11" fillId="22" borderId="3" xfId="0" applyNumberFormat="1" applyFill="1" applyBorder="1" applyAlignment="1">
      <alignment horizontal="center"/>
    </xf>
    <xf numFmtId="301" fontId="11" fillId="22" borderId="4" xfId="0" applyNumberFormat="1" applyFill="1" applyBorder="1" applyAlignment="1">
      <alignment horizontal="center"/>
    </xf>
    <xf numFmtId="301" fontId="11" fillId="22" borderId="3" xfId="0" applyNumberFormat="1" applyFill="1" applyBorder="1" applyAlignment="1">
      <alignment horizontal="center"/>
    </xf>
    <xf numFmtId="0" fontId="0" fillId="13" borderId="7" xfId="0">
      <alignment horizontal="center"/>
    </xf>
    <xf numFmtId="0" fontId="0" fillId="23" borderId="7" xfId="0">
      <alignment horizontal="center"/>
    </xf>
    <xf numFmtId="49" fontId="11" fillId="22" borderId="5" xfId="0" applyNumberFormat="1" applyFill="1" applyBorder="1">
      <alignment vertical="bottom"/>
    </xf>
    <xf numFmtId="49" fontId="0" fillId="14" borderId="8" xfId="0">
      <alignment wrapText="1"/>
    </xf>
    <xf fontId="0" fillId="9" borderId="0" xfId="0">
      <alignment vertical="bottom"/>
    </xf>
    <xf fontId="0" fillId="8" borderId="0" xfId="0">
      <alignment vertical="bottom"/>
    </xf>
    <xf numFmtId="49" fontId="0" fillId="9" borderId="8" xfId="0">
      <alignment wrapText="1"/>
    </xf>
    <xf numFmtId="49" fontId="0" fillId="9" borderId="8" xfId="0">
      <alignment vertical="bottom"/>
    </xf>
    <xf fontId="0" fillId="8" borderId="0" xfId="0">
      <alignment vertical="bottom"/>
    </xf>
    <xf fontId="0" fillId="7" borderId="0" xfId="0">
      <alignment vertical="bottom"/>
    </xf>
    <xf fontId="0" fillId="11" borderId="0" xfId="0">
      <alignment vertical="bottom"/>
    </xf>
    <xf numFmtId="49" fontId="11" fillId="25" borderId="6" xfId="0" applyNumberFormat="1" applyFill="1" applyBorder="1">
      <alignment vertical="bottom"/>
    </xf>
    <xf numFmtId="0" fontId="11" fillId="25" borderId="6" xfId="0" applyNumberFormat="1" applyFill="1" applyBorder="1" applyAlignment="1">
      <alignment horizontal="center"/>
    </xf>
    <xf numFmtId="301" fontId="11" fillId="25" borderId="6" xfId="0" applyNumberFormat="1" applyFill="1" applyBorder="1" applyAlignment="1">
      <alignment horizontal="center"/>
    </xf>
    <xf numFmtId="301" fontId="11" fillId="25" borderId="5" xfId="0" applyNumberFormat="1" applyFill="1" applyBorder="1" applyAlignment="1">
      <alignment horizontal="center"/>
    </xf>
    <xf numFmtId="0" fontId="0" fillId="26" borderId="3" xfId="0">
      <alignment horizontal="center"/>
    </xf>
    <xf numFmtId="301" fontId="0" fillId="26" borderId="3" xfId="0">
      <alignment horizontal="center"/>
    </xf>
    <xf numFmtId="0" fontId="0" fillId="25" borderId="3" xfId="0">
      <alignment horizontal="center"/>
    </xf>
    <xf numFmtId="49" fontId="11" fillId="25" borderId="8" xfId="0" applyNumberFormat="1" applyFill="1" applyBorder="1">
      <alignment vertical="bottom"/>
    </xf>
    <xf fontId="0" fillId="25" borderId="0" xfId="0">
      <alignment vertical="bottom"/>
    </xf>
    <xf numFmtId="0" fontId="0" fillId="26" borderId="0" xfId="0">
      <alignment vertical="bottom"/>
    </xf>
    <xf numFmtId="49" fontId="0" fillId="26" borderId="8" xfId="0">
      <alignment vertical="bottom"/>
    </xf>
    <xf fontId="0" fillId="26" borderId="0" xfId="0">
      <alignment vertical="bottom"/>
    </xf>
    <xf numFmtId="0" fontId="0" fillId="26" borderId="7" xfId="0">
      <alignment horizontal="center"/>
    </xf>
    <xf numFmtId="0" fontId="0" fillId="25" borderId="7" xfId="0">
      <alignment horizontal="center"/>
    </xf>
    <xf numFmtId="301" fontId="0" fillId="26" borderId="0" xfId="0">
      <alignment vertical="bottom"/>
    </xf>
    <xf fontId="0" fillId="7" borderId="0" xfId="0">
      <alignment vertical="bottom"/>
    </xf>
    <xf fontId="0" fillId="5" borderId="0" xfId="0">
      <alignment vertical="bottom"/>
    </xf>
    <xf fontId="0" fillId="9" borderId="0" xfId="0">
      <alignment vertical="bottom"/>
    </xf>
    <xf fontId="0" fillId="11" borderId="0" xfId="0">
      <alignment vertical="bottom"/>
    </xf>
    <xf fontId="0" fillId="26" borderId="0" xfId="0">
      <alignment vertical="bottom"/>
    </xf>
    <xf numFmtId="302" fontId="11" fillId="0" borderId="0" xfId="0" applyNumberFormat="1" applyAlignment="1">
      <alignment vertical="bottom"/>
    </xf>
    <xf numFmtId="300" fontId="11" fillId="0" borderId="0" xfId="0" applyNumberFormat="1" applyAlignment="1">
      <alignment horizontal="center" vertical="bottom"/>
    </xf>
    <xf numFmtId="301" fontId="11" fillId="0" borderId="0" xfId="0" applyNumberFormat="1" applyAlignment="1">
      <alignment horizontal="center" vertical="bottom"/>
    </xf>
    <xf numFmtId="302" fontId="11" fillId="0" borderId="0" xfId="0" applyAlignment="1">
      <alignment horizontal="center" vertical="bottom"/>
    </xf>
    <xf numFmtId="301" fontId="11" fillId="0" borderId="0" xfId="0" applyNumberFormat="1">
      <alignment vertical="bottom"/>
    </xf>
    <xf numFmtId="302" fontId="11" fillId="0" borderId="0" xfId="0">
      <alignment vertical="bottom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sx="100000" sy="100000" kx="0" ky="0" algn="b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sx="100000" sy="100000" kx="0" ky="0" algn="b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sx="100000" sy="100000" kx="0" ky="0" algn="b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sx="100000" sy="100000" kx="0" ky="0" algn="b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sx="100000" sy="100000" kx="0" ky="0" algn="b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 codeName="种族值"/>
  <dimension ref="Z349"/>
  <sheetViews>
    <sheetView showGridLines="0" defaultGridColor="1" workbookViewId="0">
      <pane xSplit="2" ySplit="1" topLeftCell="C2" state="frozen"/>
    </sheetView>
  </sheetViews>
  <sheetFormatPr defaultColWidth="8.83333" defaultRowHeight="15" customHeight="1" outlineLevelRow="0" outlineLevelCol="0"/>
  <cols>
    <col min="1" max="3" width="8.85156" style="259" customWidth="1"/>
    <col min="4" max="8" width="8.85156" style="260" customWidth="1"/>
    <col min="9" max="10" width="8.85156" style="261" customWidth="1"/>
    <col min="11" max="11" width="8.85156" style="262" customWidth="1"/>
    <col min="12" max="12" width="8.85156" style="261" customWidth="1"/>
    <col min="13" max="13" width="8.85156" style="262" customWidth="1"/>
    <col min="14" max="14" width="8.85156" style="261" customWidth="1"/>
    <col min="15" max="15" width="32.1875" style="259" customWidth="1"/>
    <col min="16" max="18" width="4.90234" style="259" customWidth="1"/>
    <col min="19" max="19" width="18.2344" style="259" customWidth="1"/>
    <col min="20" max="23" width="8.83333" style="263"/>
    <col min="27" max="40" width="8.85156" style="259" customWidth="1"/>
  </cols>
  <sheetData>
    <row r="1" spans="1:23" ht="13.55" customHeight="1">
      <c r="A1" s="214" t="s">
        <v>1</v>
      </c>
      <c r="B1" s="214" t="s">
        <v>2</v>
      </c>
      <c r="C1" s="214" t="s">
        <v>3</v>
      </c>
      <c r="D1" s="215" t="s">
        <v>4</v>
      </c>
      <c r="E1" s="215" t="s">
        <v>5</v>
      </c>
      <c r="F1" s="215" t="s">
        <v>6</v>
      </c>
      <c r="G1" s="215" t="s">
        <v>7</v>
      </c>
      <c r="H1" s="215" t="s">
        <v>8</v>
      </c>
      <c r="I1" s="216" t="s">
        <v>9</v>
      </c>
      <c r="J1" s="216" t="s">
        <v>10</v>
      </c>
      <c r="K1" s="217" t="s">
        <v>11</v>
      </c>
      <c r="L1" s="217" t="s">
        <v>12</v>
      </c>
      <c r="M1" s="7" t="s">
        <v>1342</v>
      </c>
      <c r="N1" s="217" t="s">
        <v>13</v>
      </c>
      <c r="O1" s="214" t="s">
        <v>14</v>
      </c>
      <c r="P1" s="218" t="s">
        <v>1335</v>
      </c>
      <c r="Q1" s="218" t="s">
        <v>1331</v>
      </c>
      <c r="R1" s="218" t="s">
        <v>1330</v>
      </c>
      <c r="S1" s="214" t="s">
        <v>15</v>
      </c>
      <c r="T1" s="8">
        <f>=SUBTOTAL(101,I3:I349)</f>
        <v>98.3066666666667</v>
      </c>
      <c r="U1" s="219">
        <f>=SUBTOTAL(101,J3:J349)</f>
        <v>592.093333333334</v>
      </c>
      <c r="V1" s="8">
        <f>=SUBTOTAL(101,K3:K349)</f>
        <v>521.173333333333</v>
      </c>
      <c r="W1" s="10">
        <f>=SUBTOTAL(101,L3:L349)</f>
        <v>191407.223125333</v>
      </c>
    </row>
    <row r="2" spans="1:40" s="254" customFormat="1" ht="13.55" customHeight="1">
      <c r="A2" s="223" t="s">
        <v>63</v>
      </c>
      <c r="B2" s="223" t="s">
        <v>64</v>
      </c>
      <c r="C2" s="223" t="s">
        <v>65</v>
      </c>
      <c r="D2" s="225">
        <v>132</v>
      </c>
      <c r="E2" s="225">
        <v>109</v>
      </c>
      <c r="F2" s="225">
        <v>109</v>
      </c>
      <c r="G2" s="225">
        <v>128</v>
      </c>
      <c r="H2" s="225">
        <v>83</v>
      </c>
      <c r="I2" s="227">
        <v>125</v>
      </c>
      <c r="J2" s="227">
        <f>=SUM(D2:I2)</f>
        <v>686</v>
      </c>
      <c r="K2" s="183">
        <f>=J2-MIN(E2,F2)</f>
        <v>577</v>
      </c>
      <c r="L2" s="130">
        <f>=(2.04*D2+246.4)*(1.1*(G2+H2)+186)</f>
        <v>215605.808</v>
      </c>
      <c r="M2" s="49">
        <v>1</v>
      </c>
      <c r="N2" s="184" t="s">
        <v>56</v>
      </c>
      <c r="O2" s="223" t="s">
        <v>66</v>
      </c>
      <c r="P2" s="223" t="s"/>
      <c r="Q2" s="223" t="s"/>
      <c r="R2" s="223" t="s"/>
      <c r="S2" s="223" t="s">
        <v>67</v>
      </c>
      <c r="T2" s="178" t="s"/>
      <c r="U2" s="178" t="s"/>
      <c r="V2" s="178" t="s"/>
      <c r="W2" s="178" t="s"/>
      <c r="X2" s="213" t="s"/>
      <c r="Y2" s="213" t="s"/>
      <c r="Z2" s="213" t="s"/>
      <c r="AA2" s="171" t="s"/>
      <c r="AB2" s="171" t="s"/>
      <c r="AC2" s="171" t="s"/>
      <c r="AD2" s="171" t="s"/>
      <c r="AE2" s="171" t="s"/>
      <c r="AF2" s="171" t="s"/>
      <c r="AG2" s="171" t="s"/>
      <c r="AH2" s="171" t="s"/>
      <c r="AI2" s="171" t="s"/>
      <c r="AJ2" s="171" t="s"/>
      <c r="AK2" s="171" t="s"/>
      <c r="AL2" s="171" t="s"/>
      <c r="AM2" s="171" t="s"/>
      <c r="AN2" s="171" t="s"/>
    </row>
    <row r="3" spans="1:40" s="255" customFormat="1" ht="13.55" customHeight="1">
      <c r="A3" s="222" t="s">
        <v>501</v>
      </c>
      <c r="B3" s="222" t="s">
        <v>502</v>
      </c>
      <c r="C3" s="222" t="s">
        <v>503</v>
      </c>
      <c r="D3" s="224">
        <v>120</v>
      </c>
      <c r="E3" s="224">
        <v>137</v>
      </c>
      <c r="F3" s="224">
        <v>50</v>
      </c>
      <c r="G3" s="224">
        <v>104</v>
      </c>
      <c r="H3" s="224">
        <v>81</v>
      </c>
      <c r="I3" s="226">
        <v>60</v>
      </c>
      <c r="J3" s="226">
        <f>=SUM(D3:I3)</f>
        <v>552</v>
      </c>
      <c r="K3" s="183">
        <f>=J3-MIN(E3,F3)</f>
        <v>502</v>
      </c>
      <c r="L3" s="130">
        <f>=(2.04*D3+246.4)*(1.1*(G3+H3)+186)</f>
        <v>191322.4</v>
      </c>
      <c r="M3" s="49">
        <v>2</v>
      </c>
      <c r="N3" s="184" t="s">
        <v>56</v>
      </c>
      <c r="O3" s="230" t="s">
        <v>504</v>
      </c>
      <c r="P3" s="223" t="s"/>
      <c r="Q3" s="223" t="s"/>
      <c r="R3" s="223" t="s"/>
      <c r="S3" s="222" t="s">
        <v>505</v>
      </c>
      <c r="T3" s="177" t="s"/>
      <c r="U3" s="177" t="s"/>
      <c r="V3" s="177" t="s"/>
      <c r="W3" s="177" t="s"/>
      <c r="AA3" s="201" t="s"/>
      <c r="AB3" s="201" t="s"/>
      <c r="AC3" s="201" t="s"/>
      <c r="AD3" s="201" t="s"/>
      <c r="AE3" s="201" t="s"/>
      <c r="AF3" s="201" t="s"/>
      <c r="AG3" s="201" t="s"/>
      <c r="AH3" s="201" t="s"/>
      <c r="AI3" s="201" t="s"/>
      <c r="AJ3" s="201" t="s"/>
      <c r="AK3" s="201" t="s"/>
      <c r="AL3" s="201" t="s"/>
      <c r="AM3" s="201" t="s"/>
      <c r="AN3" s="201" t="s"/>
    </row>
    <row r="4" spans="1:40" s="256" customFormat="1" ht="13.55" customHeight="1">
      <c r="A4" s="45" t="s">
        <v>78</v>
      </c>
      <c r="B4" s="45" t="s">
        <v>79</v>
      </c>
      <c r="C4" s="45" t="s">
        <v>80</v>
      </c>
      <c r="D4" s="46">
        <v>130</v>
      </c>
      <c r="E4" s="46">
        <v>127</v>
      </c>
      <c r="F4" s="46">
        <v>57</v>
      </c>
      <c r="G4" s="46">
        <v>131</v>
      </c>
      <c r="H4" s="46">
        <v>87</v>
      </c>
      <c r="I4" s="47">
        <v>100</v>
      </c>
      <c r="J4" s="48">
        <f>=SUM(D4:I4)</f>
        <v>632</v>
      </c>
      <c r="K4" s="49">
        <f>=J4-MIN(E4,F4)</f>
        <v>575</v>
      </c>
      <c r="L4" s="50">
        <f>=(2.04*D4+246.4)*(1.1*(G4+H4)+186)</f>
        <v>217839.28</v>
      </c>
      <c r="M4" s="221">
        <v>3</v>
      </c>
      <c r="N4" s="64" t="s">
        <v>56</v>
      </c>
      <c r="O4" s="45" t="s">
        <v>81</v>
      </c>
      <c r="P4" s="122" t="s"/>
      <c r="Q4" s="122" t="s"/>
      <c r="R4" s="122" t="s"/>
      <c r="S4" s="45" t="s">
        <v>82</v>
      </c>
      <c r="T4" s="52" t="s"/>
      <c r="U4" s="52" t="s"/>
      <c r="V4" s="52" t="s"/>
      <c r="W4" s="52" t="s"/>
      <c r="AA4" s="232" t="s"/>
      <c r="AB4" s="232" t="s"/>
      <c r="AC4" s="232" t="s"/>
      <c r="AD4" s="232" t="s"/>
      <c r="AE4" s="232" t="s"/>
      <c r="AF4" s="232" t="s"/>
      <c r="AG4" s="232" t="s"/>
      <c r="AH4" s="232" t="s"/>
      <c r="AI4" s="232" t="s"/>
      <c r="AJ4" s="232" t="s"/>
      <c r="AK4" s="232" t="s"/>
      <c r="AL4" s="232" t="s"/>
      <c r="AM4" s="232" t="s"/>
      <c r="AN4" s="232" t="s"/>
    </row>
    <row r="5" spans="1:19" ht="13.55" customHeight="1">
      <c r="A5" s="179" t="s">
        <v>113</v>
      </c>
      <c r="B5" s="179" t="s">
        <v>114</v>
      </c>
      <c r="C5" s="179" t="s">
        <v>115</v>
      </c>
      <c r="D5" s="180">
        <v>99</v>
      </c>
      <c r="E5" s="180">
        <v>78</v>
      </c>
      <c r="F5" s="180">
        <v>192</v>
      </c>
      <c r="G5" s="180">
        <v>77</v>
      </c>
      <c r="H5" s="180">
        <v>92</v>
      </c>
      <c r="I5" s="181">
        <v>105</v>
      </c>
      <c r="J5" s="182">
        <f>=SUM(D5:I5)</f>
        <v>643</v>
      </c>
      <c r="K5" s="183">
        <f>=J5-MIN(E5,F5)</f>
        <v>565</v>
      </c>
      <c r="L5" s="130">
        <f>=(2.04*D5+246.4)*(1.1*(G5+H5)+186)</f>
        <v>166745.084</v>
      </c>
      <c r="M5" s="221">
        <v>4</v>
      </c>
      <c r="N5" s="189" t="s">
        <v>56</v>
      </c>
      <c r="O5" s="179" t="s">
        <v>116</v>
      </c>
      <c r="P5" s="185" t="s"/>
      <c r="Q5" s="185" t="s"/>
      <c r="R5" s="185" t="s"/>
      <c r="S5" s="179" t="s">
        <v>117</v>
      </c>
    </row>
    <row r="6" spans="1:40" s="257" customFormat="1" ht="13.55" customHeight="1">
      <c r="A6" s="179" t="s">
        <v>83</v>
      </c>
      <c r="B6" s="179" t="s">
        <v>84</v>
      </c>
      <c r="C6" s="179" t="s">
        <v>85</v>
      </c>
      <c r="D6" s="180">
        <v>152</v>
      </c>
      <c r="E6" s="180">
        <v>91</v>
      </c>
      <c r="F6" s="180">
        <v>163</v>
      </c>
      <c r="G6" s="180">
        <v>67</v>
      </c>
      <c r="H6" s="180">
        <v>119</v>
      </c>
      <c r="I6" s="181">
        <v>70</v>
      </c>
      <c r="J6" s="182">
        <f>=SUM(D6:I6)</f>
        <v>662</v>
      </c>
      <c r="K6" s="183">
        <f>=J6-MIN(E6,F6)</f>
        <v>571</v>
      </c>
      <c r="L6" s="130">
        <f>=(2.04*D6+246.4)*(1.1*(G6+H6)+186)</f>
        <v>217361.088</v>
      </c>
      <c r="M6" s="49">
        <v>5</v>
      </c>
      <c r="N6" s="184" t="s">
        <v>56</v>
      </c>
      <c r="O6" s="179" t="s">
        <v>86</v>
      </c>
      <c r="P6" s="185" t="s"/>
      <c r="Q6" s="185" t="s"/>
      <c r="R6" s="185" t="s"/>
      <c r="S6" s="179" t="s">
        <v>87</v>
      </c>
      <c r="T6" s="177" t="s"/>
      <c r="U6" s="177" t="s"/>
      <c r="V6" s="177" t="s"/>
      <c r="W6" s="177" t="s"/>
      <c r="AA6" s="174" t="s"/>
      <c r="AB6" s="174" t="s"/>
      <c r="AC6" s="174" t="s"/>
      <c r="AD6" s="174" t="s"/>
      <c r="AE6" s="174" t="s"/>
      <c r="AF6" s="174" t="s"/>
      <c r="AG6" s="174" t="s"/>
      <c r="AH6" s="174" t="s"/>
      <c r="AI6" s="174" t="s"/>
      <c r="AJ6" s="174" t="s"/>
      <c r="AK6" s="174" t="s"/>
      <c r="AL6" s="174" t="s"/>
      <c r="AM6" s="174" t="s"/>
      <c r="AN6" s="174" t="s"/>
    </row>
    <row r="7" spans="1:19" ht="13.55" customHeight="1">
      <c r="A7" s="146" t="s">
        <v>433</v>
      </c>
      <c r="B7" s="146" t="s">
        <v>434</v>
      </c>
      <c r="C7" s="146" t="s">
        <v>65</v>
      </c>
      <c r="D7" s="147">
        <v>90</v>
      </c>
      <c r="E7" s="147">
        <v>128</v>
      </c>
      <c r="F7" s="147">
        <v>55</v>
      </c>
      <c r="G7" s="147">
        <v>108</v>
      </c>
      <c r="H7" s="147">
        <v>74</v>
      </c>
      <c r="I7" s="148">
        <v>115</v>
      </c>
      <c r="J7" s="149">
        <f>=SUM(D7:I7)</f>
        <v>570</v>
      </c>
      <c r="K7" s="150">
        <f>=J7-MIN(E7,F7)</f>
        <v>515</v>
      </c>
      <c r="L7" s="127">
        <f>=(2.04*D7+246.4)*(1.1*(G7+H7)+186)</f>
        <v>166066</v>
      </c>
      <c r="M7" s="115">
        <v>6</v>
      </c>
      <c r="N7" s="161" t="s">
        <v>56</v>
      </c>
      <c r="O7" s="146" t="s">
        <v>435</v>
      </c>
      <c r="P7" s="162" t="s"/>
      <c r="Q7" s="162" t="s"/>
      <c r="R7" s="162" t="s"/>
      <c r="S7" s="146" t="s">
        <v>436</v>
      </c>
    </row>
    <row r="8" spans="1:19" ht="13.55" customHeight="1">
      <c r="A8" s="179" t="s">
        <v>224</v>
      </c>
      <c r="B8" s="179" t="s">
        <v>225</v>
      </c>
      <c r="C8" s="179" t="s">
        <v>125</v>
      </c>
      <c r="D8" s="180">
        <v>136</v>
      </c>
      <c r="E8" s="180">
        <v>34</v>
      </c>
      <c r="F8" s="180">
        <v>95</v>
      </c>
      <c r="G8" s="180">
        <v>95</v>
      </c>
      <c r="H8" s="180">
        <v>110</v>
      </c>
      <c r="I8" s="181">
        <v>105</v>
      </c>
      <c r="J8" s="182">
        <f>=SUM(D8:I8)</f>
        <v>575</v>
      </c>
      <c r="K8" s="183">
        <f>=J8-MIN(E8,F8)</f>
        <v>541</v>
      </c>
      <c r="L8" s="130">
        <f>=(2.04*D8+246.4)*(1.1*(G8+H8)+186)</f>
        <v>215560.16</v>
      </c>
      <c r="M8" s="221">
        <v>7</v>
      </c>
      <c r="N8" s="189" t="s">
        <v>56</v>
      </c>
      <c r="O8" s="179" t="s">
        <v>226</v>
      </c>
      <c r="P8" s="185" t="s"/>
      <c r="Q8" s="185" t="s"/>
      <c r="R8" s="185" t="s"/>
      <c r="S8" s="179" t="s">
        <v>227</v>
      </c>
    </row>
    <row r="9" spans="1:40" s="255" customFormat="1" ht="13.55" customHeight="1">
      <c r="A9" s="146" t="s">
        <v>663</v>
      </c>
      <c r="B9" s="146" t="s">
        <v>664</v>
      </c>
      <c r="C9" s="146" t="s">
        <v>665</v>
      </c>
      <c r="D9" s="147">
        <v>110</v>
      </c>
      <c r="E9" s="147">
        <v>68</v>
      </c>
      <c r="F9" s="147">
        <v>10</v>
      </c>
      <c r="G9" s="147">
        <v>99</v>
      </c>
      <c r="H9" s="147">
        <v>84</v>
      </c>
      <c r="I9" s="148">
        <v>100</v>
      </c>
      <c r="J9" s="149">
        <f>=SUM(D9:I9)</f>
        <v>471</v>
      </c>
      <c r="K9" s="150">
        <f>=J9-MIN(E9,F9)</f>
        <v>461</v>
      </c>
      <c r="L9" s="127">
        <f>=(2.04*D9+246.4)*(1.1*(G9+H9)+186)</f>
        <v>182340.84</v>
      </c>
      <c r="M9" s="34">
        <v>9</v>
      </c>
      <c r="N9" s="151" t="s">
        <v>56</v>
      </c>
      <c r="O9" s="146" t="s">
        <v>666</v>
      </c>
      <c r="P9" s="162" t="s"/>
      <c r="Q9" s="162" t="s"/>
      <c r="R9" s="162" t="s"/>
      <c r="S9" s="146" t="s">
        <v>667</v>
      </c>
      <c r="AA9" s="201" t="s"/>
      <c r="AB9" s="201" t="s"/>
      <c r="AC9" s="201" t="s"/>
      <c r="AD9" s="201" t="s"/>
      <c r="AE9" s="201" t="s"/>
      <c r="AF9" s="201" t="s"/>
      <c r="AG9" s="201" t="s"/>
      <c r="AH9" s="201" t="s"/>
      <c r="AI9" s="201" t="s"/>
      <c r="AJ9" s="201" t="s"/>
      <c r="AK9" s="201" t="s"/>
      <c r="AL9" s="201" t="s"/>
      <c r="AM9" s="201" t="s"/>
      <c r="AN9" s="201" t="s"/>
    </row>
    <row r="10" spans="1:40" s="256" customFormat="1" ht="13.55" customHeight="1">
      <c r="A10" s="45" t="s">
        <v>393</v>
      </c>
      <c r="B10" s="77" t="s">
        <v>394</v>
      </c>
      <c r="C10" s="45" t="s">
        <v>395</v>
      </c>
      <c r="D10" s="46">
        <v>130</v>
      </c>
      <c r="E10" s="46">
        <v>120</v>
      </c>
      <c r="F10" s="46">
        <v>114</v>
      </c>
      <c r="G10" s="46">
        <v>66</v>
      </c>
      <c r="H10" s="46">
        <v>130</v>
      </c>
      <c r="I10" s="47">
        <v>90</v>
      </c>
      <c r="J10" s="48">
        <f>=SUM(D10:I10)</f>
        <v>650</v>
      </c>
      <c r="K10" s="49">
        <f>=J10-MIN(E10,F10)</f>
        <v>536</v>
      </c>
      <c r="L10" s="50">
        <f>=(2.04*D10+246.4)*(1.1*(G10+H10)+186)</f>
        <v>205458.56</v>
      </c>
      <c r="M10" s="221">
        <v>11</v>
      </c>
      <c r="N10" s="64" t="s">
        <v>56</v>
      </c>
      <c r="O10" s="77" t="s">
        <v>396</v>
      </c>
      <c r="P10" s="122" t="s"/>
      <c r="Q10" s="122" t="s"/>
      <c r="R10" s="122" t="s"/>
      <c r="S10" s="45" t="s">
        <v>397</v>
      </c>
      <c r="T10" s="233" t="s"/>
      <c r="U10" s="233" t="s"/>
      <c r="V10" s="233" t="s"/>
      <c r="W10" s="233" t="s"/>
      <c r="AA10" s="232" t="s"/>
      <c r="AB10" s="232" t="s"/>
      <c r="AC10" s="232" t="s"/>
      <c r="AD10" s="232" t="s"/>
      <c r="AE10" s="232" t="s"/>
      <c r="AF10" s="232" t="s"/>
      <c r="AG10" s="232" t="s"/>
      <c r="AH10" s="232" t="s"/>
      <c r="AI10" s="232" t="s"/>
      <c r="AJ10" s="232" t="s"/>
      <c r="AK10" s="232" t="s"/>
      <c r="AL10" s="232" t="s"/>
      <c r="AM10" s="232" t="s"/>
      <c r="AN10" s="232" t="s"/>
    </row>
    <row r="11" spans="1:40" s="256" customFormat="1" ht="13.55" customHeight="1">
      <c r="A11" s="45" t="s">
        <v>16</v>
      </c>
      <c r="B11" s="77" t="s">
        <v>17</v>
      </c>
      <c r="C11" s="45" t="s">
        <v>18</v>
      </c>
      <c r="D11" s="46">
        <v>187</v>
      </c>
      <c r="E11" s="46">
        <v>154</v>
      </c>
      <c r="F11" s="46">
        <v>148</v>
      </c>
      <c r="G11" s="46">
        <v>183</v>
      </c>
      <c r="H11" s="46">
        <v>183</v>
      </c>
      <c r="I11" s="47">
        <v>65</v>
      </c>
      <c r="J11" s="48">
        <f>=SUM(D11:I11)</f>
        <v>920</v>
      </c>
      <c r="K11" s="49">
        <f>=J11-MIN(E11,F11)</f>
        <v>772</v>
      </c>
      <c r="L11" s="50">
        <f>=(2.04*D11+246.4)*(1.1*(G11*1.2+H11)+186)</f>
        <v>394848.6168</v>
      </c>
      <c r="M11" s="221">
        <v>12</v>
      </c>
      <c r="N11" s="64" t="s">
        <v>19</v>
      </c>
      <c r="O11" s="77" t="s">
        <v>20</v>
      </c>
      <c r="P11" s="234" t="s"/>
      <c r="Q11" s="235" t="s"/>
      <c r="R11" s="235" t="s"/>
      <c r="S11" s="45" t="s">
        <v>21</v>
      </c>
      <c r="T11" s="236" t="s"/>
      <c r="U11" s="236" t="s"/>
      <c r="V11" s="236" t="s"/>
      <c r="W11" s="52" t="s"/>
      <c r="AA11" s="53" t="s"/>
      <c r="AB11" s="53" t="s"/>
      <c r="AC11" s="53" t="s"/>
      <c r="AD11" s="53" t="s"/>
      <c r="AE11" s="53" t="s"/>
      <c r="AF11" s="53" t="s"/>
      <c r="AG11" s="53" t="s"/>
      <c r="AH11" s="53" t="s"/>
      <c r="AI11" s="53" t="s"/>
      <c r="AJ11" s="53" t="s"/>
      <c r="AK11" s="53" t="s"/>
      <c r="AL11" s="53" t="s"/>
      <c r="AM11" s="53" t="s"/>
      <c r="AN11" s="53" t="s"/>
    </row>
    <row r="12" spans="1:40" s="256" customFormat="1" ht="13.55" hidden="1" customHeight="1">
      <c r="A12" s="38" t="s">
        <v>59</v>
      </c>
      <c r="B12" s="38" t="s">
        <v>60</v>
      </c>
      <c r="C12" s="38" t="s">
        <v>18</v>
      </c>
      <c r="D12" s="39">
        <v>139</v>
      </c>
      <c r="E12" s="39">
        <v>116</v>
      </c>
      <c r="F12" s="39">
        <v>111</v>
      </c>
      <c r="G12" s="39">
        <v>139</v>
      </c>
      <c r="H12" s="39">
        <v>139</v>
      </c>
      <c r="I12" s="39">
        <v>52</v>
      </c>
      <c r="J12" s="40">
        <f>=SUM(D12:I12)</f>
        <v>696</v>
      </c>
      <c r="K12" s="17">
        <f>=J12-MIN(E12,F12)</f>
        <v>585</v>
      </c>
      <c r="L12" s="41">
        <f>=(2.04*D12+246.4)*(1.1*(G12+H12)+186)</f>
        <v>260634.328</v>
      </c>
      <c r="M12" s="76" t="s"/>
      <c r="N12" s="76" t="s">
        <v>61</v>
      </c>
      <c r="O12" s="38" t="s">
        <v>23</v>
      </c>
      <c r="P12" s="121" t="s"/>
      <c r="Q12" s="121" t="s"/>
      <c r="R12" s="121" t="s"/>
      <c r="S12" s="38" t="s">
        <v>62</v>
      </c>
      <c r="T12" s="52" t="s"/>
      <c r="U12" s="52" t="s"/>
      <c r="V12" s="52" t="s"/>
      <c r="W12" s="52" t="s"/>
      <c r="AA12" s="53" t="s"/>
      <c r="AB12" s="53" t="s"/>
      <c r="AC12" s="53" t="s"/>
      <c r="AD12" s="53" t="s"/>
      <c r="AE12" s="53" t="s"/>
      <c r="AF12" s="53" t="s"/>
      <c r="AG12" s="53" t="s"/>
      <c r="AH12" s="53" t="s"/>
      <c r="AI12" s="53" t="s"/>
      <c r="AJ12" s="53" t="s"/>
      <c r="AK12" s="53" t="s"/>
      <c r="AL12" s="53" t="s"/>
      <c r="AM12" s="53" t="s"/>
      <c r="AN12" s="53" t="s"/>
    </row>
    <row r="13" spans="1:40" s="257" customFormat="1" ht="13.55" customHeight="1">
      <c r="A13" s="179" t="s">
        <v>88</v>
      </c>
      <c r="B13" s="179" t="s">
        <v>89</v>
      </c>
      <c r="C13" s="179" t="s">
        <v>90</v>
      </c>
      <c r="D13" s="180">
        <v>125</v>
      </c>
      <c r="E13" s="180">
        <v>95</v>
      </c>
      <c r="F13" s="180">
        <v>86</v>
      </c>
      <c r="G13" s="180">
        <v>138</v>
      </c>
      <c r="H13" s="180">
        <v>97</v>
      </c>
      <c r="I13" s="181">
        <v>115</v>
      </c>
      <c r="J13" s="182">
        <f>=SUM(D13:I13)</f>
        <v>656</v>
      </c>
      <c r="K13" s="183">
        <f>=J13-MIN(E13,F13)</f>
        <v>570</v>
      </c>
      <c r="L13" s="130">
        <f>=(2.04*D13+246.4)*(1.1*(G13+H13)+186)</f>
        <v>222872.3</v>
      </c>
      <c r="M13" s="221">
        <v>14</v>
      </c>
      <c r="N13" s="189" t="s">
        <v>56</v>
      </c>
      <c r="O13" s="179" t="s">
        <v>91</v>
      </c>
      <c r="P13" s="185" t="s"/>
      <c r="Q13" s="185" t="s"/>
      <c r="R13" s="185" t="s"/>
      <c r="S13" s="179" t="s">
        <v>92</v>
      </c>
      <c r="AA13" s="174" t="s"/>
      <c r="AB13" s="174" t="s"/>
      <c r="AC13" s="174" t="s"/>
      <c r="AD13" s="174" t="s"/>
      <c r="AE13" s="174" t="s"/>
      <c r="AF13" s="174" t="s"/>
      <c r="AG13" s="174" t="s"/>
      <c r="AH13" s="174" t="s"/>
      <c r="AI13" s="174" t="s"/>
      <c r="AJ13" s="174" t="s"/>
      <c r="AK13" s="174" t="s"/>
      <c r="AL13" s="174" t="s"/>
      <c r="AM13" s="174" t="s"/>
      <c r="AN13" s="174" t="s"/>
    </row>
    <row r="14" spans="1:40" s="254" customFormat="1" ht="13.55" customHeight="1">
      <c r="A14" s="179" t="s">
        <v>389</v>
      </c>
      <c r="B14" s="179" t="s">
        <v>390</v>
      </c>
      <c r="C14" s="179" t="s">
        <v>18</v>
      </c>
      <c r="D14" s="180">
        <v>92</v>
      </c>
      <c r="E14" s="180">
        <v>124</v>
      </c>
      <c r="F14" s="180">
        <v>48</v>
      </c>
      <c r="G14" s="180">
        <v>122</v>
      </c>
      <c r="H14" s="180">
        <v>92</v>
      </c>
      <c r="I14" s="181">
        <v>90</v>
      </c>
      <c r="J14" s="182">
        <f>=SUM(D14:I14)</f>
        <v>568</v>
      </c>
      <c r="K14" s="183">
        <f>=J14-MIN(E14,F14)</f>
        <v>520</v>
      </c>
      <c r="L14" s="130">
        <f>=(2.04*D14+246.4)*(1.1*(G14+H14)+186)</f>
        <v>182921.312</v>
      </c>
      <c r="M14" s="221">
        <v>15</v>
      </c>
      <c r="N14" s="189" t="s">
        <v>56</v>
      </c>
      <c r="O14" s="179" t="s">
        <v>391</v>
      </c>
      <c r="P14" s="185" t="s"/>
      <c r="Q14" s="185" t="s"/>
      <c r="R14" s="185" t="s"/>
      <c r="S14" s="179" t="s">
        <v>392</v>
      </c>
      <c r="T14" s="175" t="s"/>
      <c r="U14" s="175" t="s"/>
      <c r="V14" s="175" t="s"/>
      <c r="W14" s="175" t="s"/>
      <c r="AA14" s="171" t="s"/>
      <c r="AB14" s="171" t="s"/>
      <c r="AC14" s="171" t="s"/>
      <c r="AD14" s="171" t="s"/>
      <c r="AE14" s="171" t="s"/>
      <c r="AF14" s="171" t="s"/>
      <c r="AG14" s="171" t="s"/>
      <c r="AH14" s="171" t="s"/>
      <c r="AI14" s="171" t="s"/>
      <c r="AJ14" s="171" t="s"/>
      <c r="AK14" s="171" t="s"/>
      <c r="AL14" s="171" t="s"/>
      <c r="AM14" s="171" t="s"/>
      <c r="AN14" s="171" t="s"/>
    </row>
    <row r="15" spans="1:40" s="257" customFormat="1" ht="13.55" customHeight="1">
      <c r="A15" s="179" t="s">
        <v>421</v>
      </c>
      <c r="B15" s="179" t="s">
        <v>422</v>
      </c>
      <c r="C15" s="179" t="s">
        <v>36</v>
      </c>
      <c r="D15" s="180">
        <v>85</v>
      </c>
      <c r="E15" s="180">
        <v>128</v>
      </c>
      <c r="F15" s="180">
        <v>46</v>
      </c>
      <c r="G15" s="180">
        <v>101</v>
      </c>
      <c r="H15" s="180">
        <v>82</v>
      </c>
      <c r="I15" s="181">
        <v>120</v>
      </c>
      <c r="J15" s="182">
        <f>=SUM(D15:I15)</f>
        <v>562</v>
      </c>
      <c r="K15" s="183">
        <f>=J15-MIN(E15,F15)</f>
        <v>516</v>
      </c>
      <c r="L15" s="130">
        <f>=(2.04*D15+246.4)*(1.1*(G15+H15)+186)</f>
        <v>162588.54</v>
      </c>
      <c r="M15" s="49">
        <v>16</v>
      </c>
      <c r="N15" s="184" t="s">
        <v>56</v>
      </c>
      <c r="O15" s="179" t="s">
        <v>423</v>
      </c>
      <c r="P15" s="185" t="s"/>
      <c r="Q15" s="185" t="s"/>
      <c r="R15" s="185" t="s"/>
      <c r="S15" s="179" t="s">
        <v>424</v>
      </c>
      <c r="AA15" s="174" t="s"/>
      <c r="AB15" s="174" t="s"/>
      <c r="AC15" s="174" t="s"/>
      <c r="AD15" s="174" t="s"/>
      <c r="AE15" s="174" t="s"/>
      <c r="AF15" s="174" t="s"/>
      <c r="AG15" s="174" t="s"/>
      <c r="AH15" s="174" t="s"/>
      <c r="AI15" s="174" t="s"/>
      <c r="AJ15" s="174" t="s"/>
      <c r="AK15" s="174" t="s"/>
      <c r="AL15" s="174" t="s"/>
      <c r="AM15" s="174" t="s"/>
      <c r="AN15" s="174" t="s"/>
    </row>
    <row r="16" spans="1:40" s="256" customFormat="1" ht="13.55" customHeight="1">
      <c r="A16" s="146" t="s">
        <v>541</v>
      </c>
      <c r="B16" s="146" t="s">
        <v>542</v>
      </c>
      <c r="C16" s="146" t="s">
        <v>543</v>
      </c>
      <c r="D16" s="147">
        <v>115</v>
      </c>
      <c r="E16" s="147">
        <v>87</v>
      </c>
      <c r="F16" s="147">
        <v>87</v>
      </c>
      <c r="G16" s="147">
        <v>84</v>
      </c>
      <c r="H16" s="147">
        <v>107</v>
      </c>
      <c r="I16" s="148">
        <v>100</v>
      </c>
      <c r="J16" s="149">
        <f>=SUM(D16:I16)</f>
        <v>580</v>
      </c>
      <c r="K16" s="150">
        <f>=J16-MIN(E16,F16)</f>
        <v>493</v>
      </c>
      <c r="L16" s="127">
        <f>=(2.04*D16+246.4)*(1.1*(G16+H16)+186)</f>
        <v>190524.1</v>
      </c>
      <c r="M16" s="115">
        <v>17</v>
      </c>
      <c r="N16" s="161" t="s">
        <v>56</v>
      </c>
      <c r="O16" s="146" t="s">
        <v>544</v>
      </c>
      <c r="P16" s="152" t="s"/>
      <c r="Q16" s="152" t="s"/>
      <c r="R16" s="152" t="s"/>
      <c r="S16" s="146" t="s">
        <v>545</v>
      </c>
      <c r="T16" s="153" t="s"/>
      <c r="U16" s="153" t="s"/>
      <c r="V16" s="153" t="s"/>
      <c r="W16" s="153" t="s"/>
      <c r="AA16" s="176" t="s"/>
      <c r="AB16" s="176" t="s"/>
      <c r="AC16" s="176" t="s"/>
      <c r="AD16" s="176" t="s"/>
      <c r="AE16" s="176" t="s"/>
      <c r="AF16" s="176" t="s"/>
      <c r="AG16" s="176" t="s"/>
      <c r="AH16" s="176" t="s"/>
      <c r="AI16" s="176" t="s"/>
      <c r="AJ16" s="176" t="s"/>
      <c r="AK16" s="176" t="s"/>
      <c r="AL16" s="176" t="s"/>
      <c r="AM16" s="176" t="s"/>
      <c r="AN16" s="176" t="s"/>
    </row>
    <row r="17" spans="1:40" s="256" customFormat="1" ht="13.55" customHeight="1">
      <c r="A17" s="45" t="s">
        <v>16</v>
      </c>
      <c r="B17" s="45" t="s">
        <v>22</v>
      </c>
      <c r="C17" s="45" t="s">
        <v>18</v>
      </c>
      <c r="D17" s="46">
        <v>174</v>
      </c>
      <c r="E17" s="46">
        <v>144</v>
      </c>
      <c r="F17" s="46">
        <v>139</v>
      </c>
      <c r="G17" s="46">
        <v>173</v>
      </c>
      <c r="H17" s="46">
        <v>173</v>
      </c>
      <c r="I17" s="47">
        <v>65</v>
      </c>
      <c r="J17" s="48">
        <f>=SUM(D17:I17)</f>
        <v>868</v>
      </c>
      <c r="K17" s="49">
        <f>=J17-MIN(E17,F17)</f>
        <v>729</v>
      </c>
      <c r="L17" s="50">
        <f>=(2.04*D17+246.4)*(1.1*(G17+H17)+186)</f>
        <v>340730.576</v>
      </c>
      <c r="M17" s="221">
        <v>18</v>
      </c>
      <c r="N17" s="64" t="s">
        <v>19</v>
      </c>
      <c r="O17" s="45" t="s">
        <v>23</v>
      </c>
      <c r="P17" s="235" t="s"/>
      <c r="Q17" s="235" t="s"/>
      <c r="R17" s="235" t="s"/>
      <c r="S17" s="45" t="s">
        <v>21</v>
      </c>
      <c r="T17" s="233" t="s"/>
      <c r="U17" s="233" t="s"/>
      <c r="V17" s="233" t="s"/>
      <c r="W17" s="52" t="s"/>
      <c r="AA17" s="53" t="s"/>
      <c r="AB17" s="53" t="s"/>
      <c r="AC17" s="53" t="s"/>
      <c r="AD17" s="53" t="s"/>
      <c r="AE17" s="53" t="s"/>
      <c r="AF17" s="53" t="s"/>
      <c r="AG17" s="53" t="s"/>
      <c r="AH17" s="53" t="s"/>
      <c r="AI17" s="53" t="s"/>
      <c r="AJ17" s="53" t="s"/>
      <c r="AK17" s="53" t="s"/>
      <c r="AL17" s="53" t="s"/>
      <c r="AM17" s="53" t="s"/>
      <c r="AN17" s="53" t="s"/>
    </row>
    <row r="18" spans="1:19" ht="13.55" customHeight="1">
      <c r="A18" s="179" t="s">
        <v>137</v>
      </c>
      <c r="B18" s="179" t="s">
        <v>138</v>
      </c>
      <c r="C18" s="179" t="s">
        <v>139</v>
      </c>
      <c r="D18" s="180">
        <v>101</v>
      </c>
      <c r="E18" s="180">
        <v>43</v>
      </c>
      <c r="F18" s="180">
        <v>111</v>
      </c>
      <c r="G18" s="180">
        <v>105</v>
      </c>
      <c r="H18" s="180">
        <v>130</v>
      </c>
      <c r="I18" s="181">
        <v>115</v>
      </c>
      <c r="J18" s="182">
        <f>=SUM(D18:I18)</f>
        <v>605</v>
      </c>
      <c r="K18" s="183">
        <f>=J18-MIN(E18,F18)</f>
        <v>562</v>
      </c>
      <c r="L18" s="130">
        <f>=(2.04*D18+246.4)*(1.1*(G18+H18)+186)</f>
        <v>201109.58</v>
      </c>
      <c r="M18" s="49">
        <v>19</v>
      </c>
      <c r="N18" s="184" t="s">
        <v>56</v>
      </c>
      <c r="O18" s="179" t="s">
        <v>140</v>
      </c>
      <c r="P18" s="185" t="s"/>
      <c r="Q18" s="185" t="s"/>
      <c r="R18" s="185" t="s"/>
      <c r="S18" s="179" t="s">
        <v>141</v>
      </c>
    </row>
    <row r="19" spans="1:40" s="256" customFormat="1" ht="13.55" customHeight="1">
      <c r="A19" s="45" t="s">
        <v>118</v>
      </c>
      <c r="B19" s="77" t="s">
        <v>119</v>
      </c>
      <c r="C19" s="45" t="s">
        <v>120</v>
      </c>
      <c r="D19" s="46">
        <v>81</v>
      </c>
      <c r="E19" s="46">
        <v>128</v>
      </c>
      <c r="F19" s="46">
        <v>119</v>
      </c>
      <c r="G19" s="46">
        <v>123</v>
      </c>
      <c r="H19" s="46">
        <v>123</v>
      </c>
      <c r="I19" s="47">
        <v>110</v>
      </c>
      <c r="J19" s="48">
        <f>=SUM(D19:I19)</f>
        <v>684</v>
      </c>
      <c r="K19" s="49">
        <f>=J19-MIN(E19,F19)</f>
        <v>565</v>
      </c>
      <c r="L19" s="50">
        <f>=(2.04*D19+246.4)*(1.1*(G19+H19)+186)</f>
        <v>187954.824</v>
      </c>
      <c r="M19" s="221">
        <v>20</v>
      </c>
      <c r="N19" s="64" t="s">
        <v>56</v>
      </c>
      <c r="O19" s="77" t="s">
        <v>121</v>
      </c>
      <c r="P19" s="122" t="s"/>
      <c r="Q19" s="122" t="s"/>
      <c r="R19" s="122" t="s"/>
      <c r="S19" s="45" t="s">
        <v>122</v>
      </c>
      <c r="T19" s="233" t="s"/>
      <c r="U19" s="233" t="s"/>
      <c r="V19" s="233" t="s"/>
      <c r="W19" s="233" t="s"/>
      <c r="AA19" s="53" t="s"/>
      <c r="AB19" s="53" t="s"/>
      <c r="AC19" s="53" t="s"/>
      <c r="AD19" s="53" t="s"/>
      <c r="AE19" s="53" t="s"/>
      <c r="AF19" s="53" t="s"/>
      <c r="AG19" s="53" t="s"/>
      <c r="AH19" s="53" t="s"/>
      <c r="AI19" s="53" t="s"/>
      <c r="AJ19" s="53" t="s"/>
      <c r="AK19" s="53" t="s"/>
      <c r="AL19" s="53" t="s"/>
      <c r="AM19" s="53" t="s"/>
      <c r="AN19" s="53" t="s"/>
    </row>
    <row r="20" spans="1:40" s="257" customFormat="1" ht="13.55" customHeight="1">
      <c r="A20" s="146" t="s">
        <v>73</v>
      </c>
      <c r="B20" s="146" t="s">
        <v>74</v>
      </c>
      <c r="C20" s="146" t="s">
        <v>75</v>
      </c>
      <c r="D20" s="147">
        <v>93</v>
      </c>
      <c r="E20" s="147">
        <v>61</v>
      </c>
      <c r="F20" s="147">
        <v>125</v>
      </c>
      <c r="G20" s="147">
        <v>87</v>
      </c>
      <c r="H20" s="147">
        <v>141</v>
      </c>
      <c r="I20" s="148">
        <v>130</v>
      </c>
      <c r="J20" s="149">
        <f>=SUM(D20:I20)</f>
        <v>637</v>
      </c>
      <c r="K20" s="150">
        <f>=J20-MIN(E20,F20)</f>
        <v>576</v>
      </c>
      <c r="L20" s="127">
        <f>=(2.04*D20+246.4)*(1.1*(G20+H20)+186)</f>
        <v>190497.216</v>
      </c>
      <c r="M20" s="115">
        <v>21</v>
      </c>
      <c r="N20" s="161" t="s">
        <v>56</v>
      </c>
      <c r="O20" s="146" t="s">
        <v>76</v>
      </c>
      <c r="P20" s="162" t="s"/>
      <c r="Q20" s="162" t="s"/>
      <c r="R20" s="162" t="s"/>
      <c r="S20" s="146" t="s">
        <v>77</v>
      </c>
      <c r="T20" s="175" t="s"/>
      <c r="U20" s="175" t="s"/>
      <c r="V20" s="175" t="s"/>
      <c r="W20" s="175" t="s"/>
      <c r="AA20" s="174" t="s"/>
      <c r="AB20" s="174" t="s"/>
      <c r="AC20" s="174" t="s"/>
      <c r="AD20" s="174" t="s"/>
      <c r="AE20" s="174" t="s"/>
      <c r="AF20" s="174" t="s"/>
      <c r="AG20" s="174" t="s"/>
      <c r="AH20" s="174" t="s"/>
      <c r="AI20" s="174" t="s"/>
      <c r="AJ20" s="174" t="s"/>
      <c r="AK20" s="174" t="s"/>
      <c r="AL20" s="174" t="s"/>
      <c r="AM20" s="174" t="s"/>
      <c r="AN20" s="174" t="s"/>
    </row>
    <row r="21" spans="1:40" s="254" customFormat="1" ht="13.55" customHeight="1">
      <c r="A21" s="30" t="s">
        <v>358</v>
      </c>
      <c r="B21" s="30" t="s">
        <v>359</v>
      </c>
      <c r="C21" s="30" t="s">
        <v>360</v>
      </c>
      <c r="D21" s="31">
        <v>112</v>
      </c>
      <c r="E21" s="31">
        <v>115</v>
      </c>
      <c r="F21" s="31">
        <v>115</v>
      </c>
      <c r="G21" s="31">
        <v>121</v>
      </c>
      <c r="H21" s="31">
        <v>95</v>
      </c>
      <c r="I21" s="32">
        <v>80</v>
      </c>
      <c r="J21" s="33">
        <f>=SUM(D21:I21)</f>
        <v>638</v>
      </c>
      <c r="K21" s="34">
        <f>=J21-MIN(E21,F21)</f>
        <v>523</v>
      </c>
      <c r="L21" s="35">
        <f>=(2.04*D21+246.4)*(1.1*(G21+H21)+186)</f>
        <v>201159.168</v>
      </c>
      <c r="M21" s="34">
        <v>22</v>
      </c>
      <c r="N21" s="36" t="s">
        <v>56</v>
      </c>
      <c r="O21" s="30" t="s">
        <v>361</v>
      </c>
      <c r="P21" s="120" t="s"/>
      <c r="Q21" s="120" t="s"/>
      <c r="R21" s="120" t="s"/>
      <c r="S21" s="30" t="s">
        <v>362</v>
      </c>
      <c r="T21" s="109" t="s"/>
      <c r="U21" s="109" t="s"/>
      <c r="V21" s="109" t="s"/>
      <c r="W21" s="109" t="s"/>
      <c r="AA21" s="44" t="s"/>
      <c r="AB21" s="44" t="s"/>
      <c r="AC21" s="44" t="s"/>
      <c r="AD21" s="44" t="s"/>
      <c r="AE21" s="44" t="s"/>
      <c r="AF21" s="44" t="s"/>
      <c r="AG21" s="44" t="s"/>
      <c r="AH21" s="44" t="s"/>
      <c r="AI21" s="44" t="s"/>
      <c r="AJ21" s="44" t="s"/>
      <c r="AK21" s="44" t="s"/>
      <c r="AL21" s="44" t="s"/>
      <c r="AM21" s="44" t="s"/>
      <c r="AN21" s="44" t="s"/>
    </row>
    <row r="22" spans="1:40" s="254" customFormat="1" ht="13.55" customHeight="1">
      <c r="A22" s="146" t="s">
        <v>1107</v>
      </c>
      <c r="B22" s="146" t="s">
        <v>1108</v>
      </c>
      <c r="C22" s="146" t="s">
        <v>1109</v>
      </c>
      <c r="D22" s="147">
        <v>53</v>
      </c>
      <c r="E22" s="147">
        <v>46</v>
      </c>
      <c r="F22" s="147">
        <v>46</v>
      </c>
      <c r="G22" s="147">
        <v>66</v>
      </c>
      <c r="H22" s="147">
        <v>66</v>
      </c>
      <c r="I22" s="148">
        <v>100</v>
      </c>
      <c r="J22" s="149">
        <f>=SUM(D22:I22)</f>
        <v>377</v>
      </c>
      <c r="K22" s="150">
        <f>=J22-MIN(E22,F22)</f>
        <v>331</v>
      </c>
      <c r="L22" s="127">
        <f>=(2.04*D22+246.4)*(1.1*(G22+H22)+186)</f>
        <v>117417.024</v>
      </c>
      <c r="M22" s="115">
        <v>23</v>
      </c>
      <c r="N22" s="161" t="s">
        <v>56</v>
      </c>
      <c r="O22" s="146" t="s">
        <v>1110</v>
      </c>
      <c r="P22" s="152" t="s"/>
      <c r="Q22" s="152" t="s"/>
      <c r="R22" s="152" t="s"/>
      <c r="S22" s="146" t="s">
        <v>1111</v>
      </c>
      <c r="T22" s="153" t="s"/>
      <c r="U22" s="153" t="s"/>
      <c r="V22" s="153" t="s"/>
      <c r="W22" s="153" t="s"/>
      <c r="AA22" s="171" t="s"/>
      <c r="AB22" s="171" t="s"/>
      <c r="AC22" s="171" t="s"/>
      <c r="AD22" s="171" t="s"/>
      <c r="AE22" s="171" t="s"/>
      <c r="AF22" s="171" t="s"/>
      <c r="AG22" s="171" t="s"/>
      <c r="AH22" s="171" t="s"/>
      <c r="AI22" s="171" t="s"/>
      <c r="AJ22" s="171" t="s"/>
      <c r="AK22" s="171" t="s"/>
      <c r="AL22" s="171" t="s"/>
      <c r="AM22" s="171" t="s"/>
      <c r="AN22" s="171" t="s"/>
    </row>
    <row r="23" spans="1:19" ht="13.55" customHeight="1">
      <c r="A23" s="146" t="s">
        <v>844</v>
      </c>
      <c r="B23" s="194" t="s">
        <v>845</v>
      </c>
      <c r="C23" s="146" t="s">
        <v>530</v>
      </c>
      <c r="D23" s="147">
        <v>90</v>
      </c>
      <c r="E23" s="147">
        <v>200</v>
      </c>
      <c r="F23" s="147">
        <v>91</v>
      </c>
      <c r="G23" s="147">
        <v>140</v>
      </c>
      <c r="H23" s="147">
        <v>115</v>
      </c>
      <c r="I23" s="148">
        <v>125</v>
      </c>
      <c r="J23" s="149">
        <f>=SUM(D23:I23)</f>
        <v>761</v>
      </c>
      <c r="K23" s="150">
        <f>=J23-MIN(E23,F23)</f>
        <v>670</v>
      </c>
      <c r="L23" s="127">
        <f>=(2.04*D23+246.4)*(1.1*(G23+H23)+186)</f>
        <v>200595</v>
      </c>
      <c r="M23" s="115">
        <v>29</v>
      </c>
      <c r="N23" s="161" t="s">
        <v>56</v>
      </c>
      <c r="O23" s="202" t="s">
        <v>1334</v>
      </c>
      <c r="P23" s="162" t="s"/>
      <c r="Q23" s="162" t="s"/>
      <c r="R23" s="162" t="s"/>
      <c r="S23" s="146" t="s">
        <v>847</v>
      </c>
    </row>
    <row r="24" spans="1:23" ht="13.55" customHeight="1">
      <c r="A24" s="146" t="s">
        <v>54</v>
      </c>
      <c r="B24" s="194" t="s">
        <v>55</v>
      </c>
      <c r="C24" s="146" t="s">
        <v>36</v>
      </c>
      <c r="D24" s="147">
        <v>117</v>
      </c>
      <c r="E24" s="147">
        <v>175</v>
      </c>
      <c r="F24" s="147">
        <v>84</v>
      </c>
      <c r="G24" s="147">
        <v>94</v>
      </c>
      <c r="H24" s="147">
        <v>72</v>
      </c>
      <c r="I24" s="148">
        <v>130</v>
      </c>
      <c r="J24" s="149">
        <f>=SUM(D24:I24)</f>
        <v>672</v>
      </c>
      <c r="K24" s="150">
        <f>=J24-MIN(E24,F24)</f>
        <v>588</v>
      </c>
      <c r="L24" s="127">
        <f>=(2.04*D24+246.4)*(1.1*(G24+H24)+186)</f>
        <v>178800.488</v>
      </c>
      <c r="M24" s="34">
        <v>32</v>
      </c>
      <c r="N24" s="151" t="s">
        <v>56</v>
      </c>
      <c r="O24" s="194" t="s">
        <v>57</v>
      </c>
      <c r="P24" s="152" t="s"/>
      <c r="Q24" s="152" t="s"/>
      <c r="R24" s="152" t="s"/>
      <c r="S24" s="146" t="s">
        <v>58</v>
      </c>
      <c r="T24" s="175" t="s"/>
      <c r="U24" s="175" t="s"/>
      <c r="V24" s="175" t="s"/>
      <c r="W24" s="175" t="s"/>
    </row>
    <row r="25" spans="1:23" ht="13.55" customHeight="1">
      <c r="A25" s="146" t="s">
        <v>775</v>
      </c>
      <c r="B25" s="146" t="s">
        <v>776</v>
      </c>
      <c r="C25" s="146" t="s">
        <v>777</v>
      </c>
      <c r="D25" s="147">
        <v>70</v>
      </c>
      <c r="E25" s="147">
        <v>79</v>
      </c>
      <c r="F25" s="147">
        <v>82</v>
      </c>
      <c r="G25" s="147">
        <v>70</v>
      </c>
      <c r="H25" s="147">
        <v>97</v>
      </c>
      <c r="I25" s="148">
        <v>115</v>
      </c>
      <c r="J25" s="149">
        <f>=SUM(D25:I25)</f>
        <v>513</v>
      </c>
      <c r="K25" s="150">
        <f>=J25-MIN(E25,F25)</f>
        <v>434</v>
      </c>
      <c r="L25" s="127">
        <f>=(2.04*D25+246.4)*(1.1*(G25+H25)+186)</f>
        <v>143887.24</v>
      </c>
      <c r="M25" s="115">
        <v>33</v>
      </c>
      <c r="N25" s="161" t="s">
        <v>56</v>
      </c>
      <c r="O25" s="146" t="s">
        <v>778</v>
      </c>
      <c r="P25" s="152" t="s"/>
      <c r="Q25" s="152" t="s"/>
      <c r="R25" s="152" t="s"/>
      <c r="S25" s="146" t="s">
        <v>779</v>
      </c>
      <c r="T25" s="153" t="s"/>
      <c r="U25" s="153" t="s"/>
      <c r="V25" s="153" t="s"/>
      <c r="W25" s="153" t="s"/>
    </row>
    <row r="26" spans="1:40" s="256" customFormat="1" ht="13.55" customHeight="1">
      <c r="A26" s="146" t="s">
        <v>653</v>
      </c>
      <c r="B26" s="146" t="s">
        <v>654</v>
      </c>
      <c r="C26" s="146" t="s">
        <v>41</v>
      </c>
      <c r="D26" s="147">
        <v>73</v>
      </c>
      <c r="E26" s="147">
        <v>101</v>
      </c>
      <c r="F26" s="147">
        <v>27</v>
      </c>
      <c r="G26" s="147">
        <v>114</v>
      </c>
      <c r="H26" s="147">
        <v>88</v>
      </c>
      <c r="I26" s="148">
        <v>90</v>
      </c>
      <c r="J26" s="149">
        <f>=SUM(D26:I26)</f>
        <v>493</v>
      </c>
      <c r="K26" s="150">
        <f>=J26-MIN(E26,F26)</f>
        <v>466</v>
      </c>
      <c r="L26" s="127">
        <f>=(2.04*D26+246.4)*(1.1*(G26+H26)+186)</f>
        <v>161369.624</v>
      </c>
      <c r="M26" s="115">
        <v>34</v>
      </c>
      <c r="N26" s="161" t="s">
        <v>56</v>
      </c>
      <c r="O26" s="146" t="s">
        <v>655</v>
      </c>
      <c r="P26" s="162" t="s"/>
      <c r="Q26" s="162" t="s"/>
      <c r="R26" s="162" t="s"/>
      <c r="S26" s="146" t="s">
        <v>656</v>
      </c>
      <c r="AA26" s="176" t="s"/>
      <c r="AB26" s="176" t="s"/>
      <c r="AC26" s="176" t="s"/>
      <c r="AD26" s="176" t="s"/>
      <c r="AE26" s="176" t="s"/>
      <c r="AF26" s="176" t="s"/>
      <c r="AG26" s="176" t="s"/>
      <c r="AH26" s="176" t="s"/>
      <c r="AI26" s="176" t="s"/>
      <c r="AJ26" s="176" t="s"/>
      <c r="AK26" s="176" t="s"/>
      <c r="AL26" s="176" t="s"/>
      <c r="AM26" s="176" t="s"/>
      <c r="AN26" s="176" t="s"/>
    </row>
    <row r="27" spans="1:23" ht="13.55" customHeight="1">
      <c r="A27" s="146" t="s">
        <v>761</v>
      </c>
      <c r="B27" s="146" t="s">
        <v>762</v>
      </c>
      <c r="C27" s="146" t="s">
        <v>248</v>
      </c>
      <c r="D27" s="147">
        <v>73</v>
      </c>
      <c r="E27" s="147">
        <v>93</v>
      </c>
      <c r="F27" s="147">
        <v>83</v>
      </c>
      <c r="G27" s="147">
        <v>65</v>
      </c>
      <c r="H27" s="147">
        <v>81</v>
      </c>
      <c r="I27" s="148">
        <v>125</v>
      </c>
      <c r="J27" s="149">
        <f>=SUM(D27:I27)</f>
        <v>520</v>
      </c>
      <c r="K27" s="150">
        <f>=J27-MIN(E27,F27)</f>
        <v>437</v>
      </c>
      <c r="L27" s="127">
        <f>=(2.04*D27+246.4)*(1.1*(G27+H27)+186)</f>
        <v>137017.912</v>
      </c>
      <c r="M27" s="34">
        <v>35</v>
      </c>
      <c r="N27" s="151" t="s">
        <v>56</v>
      </c>
      <c r="O27" s="146" t="s">
        <v>763</v>
      </c>
      <c r="P27" s="152" t="s"/>
      <c r="Q27" s="152" t="s"/>
      <c r="R27" s="152" t="s"/>
      <c r="S27" s="146" t="s">
        <v>764</v>
      </c>
      <c r="T27" s="153" t="s"/>
      <c r="U27" s="153" t="s"/>
      <c r="V27" s="153" t="s"/>
      <c r="W27" s="153" t="s"/>
    </row>
    <row r="28" spans="1:40" s="254" customFormat="1" ht="13.55" customHeight="1">
      <c r="A28" s="30" t="s">
        <v>288</v>
      </c>
      <c r="B28" s="30" t="s">
        <v>289</v>
      </c>
      <c r="C28" s="30" t="s">
        <v>290</v>
      </c>
      <c r="D28" s="31">
        <v>135</v>
      </c>
      <c r="E28" s="31">
        <v>120</v>
      </c>
      <c r="F28" s="31">
        <v>48</v>
      </c>
      <c r="G28" s="31">
        <v>103</v>
      </c>
      <c r="H28" s="31">
        <v>73</v>
      </c>
      <c r="I28" s="32">
        <v>100</v>
      </c>
      <c r="J28" s="33">
        <f>=SUM(D28:I28)</f>
        <v>579</v>
      </c>
      <c r="K28" s="34">
        <f>=J28-MIN(E28,F28)</f>
        <v>531</v>
      </c>
      <c r="L28" s="35">
        <f>=(2.04*D28+246.4)*(1.1*(G28+H28)+186)</f>
        <v>198075.28</v>
      </c>
      <c r="M28" s="115">
        <v>36</v>
      </c>
      <c r="N28" s="63" t="s">
        <v>56</v>
      </c>
      <c r="O28" s="30" t="s">
        <v>291</v>
      </c>
      <c r="P28" s="125" t="s"/>
      <c r="Q28" s="125" t="s"/>
      <c r="R28" s="125" t="s"/>
      <c r="S28" s="30" t="s">
        <v>292</v>
      </c>
      <c r="T28" s="109" t="s"/>
      <c r="U28" s="109" t="s"/>
      <c r="V28" s="109" t="s"/>
      <c r="W28" s="109" t="s"/>
      <c r="AA28" s="237" t="s"/>
      <c r="AB28" s="237" t="s"/>
      <c r="AC28" s="237" t="s"/>
      <c r="AD28" s="237" t="s"/>
      <c r="AE28" s="237" t="s"/>
      <c r="AF28" s="237" t="s"/>
      <c r="AG28" s="237" t="s"/>
      <c r="AH28" s="237" t="s"/>
      <c r="AI28" s="237" t="s"/>
      <c r="AJ28" s="237" t="s"/>
      <c r="AK28" s="237" t="s"/>
      <c r="AL28" s="237" t="s"/>
      <c r="AM28" s="237" t="s"/>
      <c r="AN28" s="237" t="s"/>
    </row>
    <row r="29" spans="1:40" s="254" customFormat="1" ht="13.55" customHeight="1">
      <c r="A29" s="30" t="s">
        <v>236</v>
      </c>
      <c r="B29" s="30" t="s">
        <v>237</v>
      </c>
      <c r="C29" s="30" t="s">
        <v>238</v>
      </c>
      <c r="D29" s="31">
        <v>109</v>
      </c>
      <c r="E29" s="31">
        <v>105</v>
      </c>
      <c r="F29" s="31">
        <v>37</v>
      </c>
      <c r="G29" s="31">
        <v>113</v>
      </c>
      <c r="H29" s="31">
        <v>97</v>
      </c>
      <c r="I29" s="32">
        <v>115</v>
      </c>
      <c r="J29" s="33">
        <f>=SUM(D29:I29)</f>
        <v>576</v>
      </c>
      <c r="K29" s="34">
        <f>=J29-MIN(E29,F29)</f>
        <v>539</v>
      </c>
      <c r="L29" s="35">
        <f>=(2.04*D29+246.4)*(1.1*(G29+H29)+186)</f>
        <v>195472.92</v>
      </c>
      <c r="M29" s="115">
        <v>38</v>
      </c>
      <c r="N29" s="63" t="s">
        <v>56</v>
      </c>
      <c r="O29" s="30" t="s">
        <v>239</v>
      </c>
      <c r="P29" s="120" t="s"/>
      <c r="Q29" s="120" t="s"/>
      <c r="R29" s="120" t="s"/>
      <c r="S29" s="30" t="s">
        <v>240</v>
      </c>
      <c r="T29" s="43" t="s"/>
      <c r="U29" s="43" t="s"/>
      <c r="V29" s="43" t="s"/>
      <c r="W29" s="43" t="s"/>
      <c r="AA29" s="44" t="s"/>
      <c r="AB29" s="44" t="s"/>
      <c r="AC29" s="44" t="s"/>
      <c r="AD29" s="44" t="s"/>
      <c r="AE29" s="44" t="s"/>
      <c r="AF29" s="44" t="s"/>
      <c r="AG29" s="44" t="s"/>
      <c r="AH29" s="44" t="s"/>
      <c r="AI29" s="44" t="s"/>
      <c r="AJ29" s="44" t="s"/>
      <c r="AK29" s="44" t="s"/>
      <c r="AL29" s="44" t="s"/>
      <c r="AM29" s="44" t="s"/>
      <c r="AN29" s="44" t="s"/>
    </row>
    <row r="30" spans="1:19" ht="13.55" customHeight="1">
      <c r="A30" s="146" t="s">
        <v>232</v>
      </c>
      <c r="B30" s="146" t="s">
        <v>233</v>
      </c>
      <c r="C30" s="146" t="s">
        <v>51</v>
      </c>
      <c r="D30" s="147">
        <v>100</v>
      </c>
      <c r="E30" s="147">
        <v>160</v>
      </c>
      <c r="F30" s="147">
        <v>67</v>
      </c>
      <c r="G30" s="147">
        <v>100</v>
      </c>
      <c r="H30" s="147">
        <v>76</v>
      </c>
      <c r="I30" s="148">
        <v>105</v>
      </c>
      <c r="J30" s="149">
        <f>=SUM(D30:I30)</f>
        <v>608</v>
      </c>
      <c r="K30" s="150">
        <f>=J30-MIN(E30,F30)</f>
        <v>541</v>
      </c>
      <c r="L30" s="127">
        <f>=(2.04*D30+246.4)*(1.1*(G30+H30)+186)</f>
        <v>170971.84</v>
      </c>
      <c r="M30" s="34">
        <v>40</v>
      </c>
      <c r="N30" s="151" t="s">
        <v>56</v>
      </c>
      <c r="O30" s="146" t="s">
        <v>234</v>
      </c>
      <c r="P30" s="162" t="s"/>
      <c r="Q30" s="162" t="s"/>
      <c r="R30" s="162" t="s"/>
      <c r="S30" s="146" t="s">
        <v>235</v>
      </c>
    </row>
    <row r="31" spans="1:19" ht="13.55" customHeight="1">
      <c r="A31" s="146" t="s">
        <v>98</v>
      </c>
      <c r="B31" s="146" t="s">
        <v>99</v>
      </c>
      <c r="C31" s="146" t="s">
        <v>100</v>
      </c>
      <c r="D31" s="147">
        <v>132</v>
      </c>
      <c r="E31" s="147">
        <v>76</v>
      </c>
      <c r="F31" s="147">
        <v>130</v>
      </c>
      <c r="G31" s="147">
        <v>85</v>
      </c>
      <c r="H31" s="147">
        <v>163</v>
      </c>
      <c r="I31" s="148">
        <v>55</v>
      </c>
      <c r="J31" s="149">
        <f>=SUM(D31:I31)</f>
        <v>641</v>
      </c>
      <c r="K31" s="150">
        <f>=J31-MIN(E31,F31)</f>
        <v>565</v>
      </c>
      <c r="L31" s="127">
        <f>=(2.04*D31+246.4)*(1.1*(G31+H31)+186)</f>
        <v>236593.984</v>
      </c>
      <c r="M31" s="115">
        <v>41</v>
      </c>
      <c r="N31" s="161" t="s">
        <v>56</v>
      </c>
      <c r="O31" s="146" t="s">
        <v>101</v>
      </c>
      <c r="P31" s="162" t="s"/>
      <c r="Q31" s="162" t="s"/>
      <c r="R31" s="162" t="s"/>
      <c r="S31" s="146" t="s">
        <v>102</v>
      </c>
    </row>
    <row r="32" spans="1:40" s="257" customFormat="1" ht="13.55" hidden="1" customHeight="1">
      <c r="A32" s="38" t="s">
        <v>157</v>
      </c>
      <c r="B32" s="38" t="s">
        <v>158</v>
      </c>
      <c r="C32" s="38" t="s">
        <v>26</v>
      </c>
      <c r="D32" s="39">
        <v>232</v>
      </c>
      <c r="E32" s="39">
        <v>73</v>
      </c>
      <c r="F32" s="39">
        <v>73</v>
      </c>
      <c r="G32" s="39">
        <v>110</v>
      </c>
      <c r="H32" s="39">
        <v>90</v>
      </c>
      <c r="I32" s="39">
        <v>52</v>
      </c>
      <c r="J32" s="40">
        <f>=SUM(D32:I32)</f>
        <v>630</v>
      </c>
      <c r="K32" s="17">
        <f>=J32-MIN(E32,F32)</f>
        <v>557</v>
      </c>
      <c r="L32" s="41">
        <f>=(2.04*D32+246.4)*(1.1*(G32+H32)+186)</f>
        <v>292190.08</v>
      </c>
      <c r="M32" s="42" t="s"/>
      <c r="N32" s="42" t="s">
        <v>61</v>
      </c>
      <c r="O32" s="38" t="s">
        <v>27</v>
      </c>
      <c r="P32" s="121" t="s"/>
      <c r="Q32" s="121" t="s"/>
      <c r="R32" s="121" t="s"/>
      <c r="S32" s="38" t="s">
        <v>159</v>
      </c>
      <c r="T32" s="61" t="s"/>
      <c r="U32" s="61" t="s"/>
      <c r="V32" s="61" t="s"/>
      <c r="W32" s="61" t="s"/>
      <c r="AA32" s="62" t="s"/>
      <c r="AB32" s="62" t="s"/>
      <c r="AC32" s="62" t="s"/>
      <c r="AD32" s="62" t="s"/>
      <c r="AE32" s="62" t="s"/>
      <c r="AF32" s="62" t="s"/>
      <c r="AG32" s="62" t="s"/>
      <c r="AH32" s="62" t="s"/>
      <c r="AI32" s="62" t="s"/>
      <c r="AJ32" s="62" t="s"/>
      <c r="AK32" s="62" t="s"/>
      <c r="AL32" s="62" t="s"/>
      <c r="AM32" s="62" t="s"/>
      <c r="AN32" s="62" t="s"/>
    </row>
    <row r="33" spans="1:19" ht="13.55" customHeight="1">
      <c r="A33" s="146" t="s">
        <v>152</v>
      </c>
      <c r="B33" s="146" t="s">
        <v>153</v>
      </c>
      <c r="C33" s="146" t="s">
        <v>154</v>
      </c>
      <c r="D33" s="147">
        <v>128</v>
      </c>
      <c r="E33" s="147">
        <v>68</v>
      </c>
      <c r="F33" s="147">
        <v>138</v>
      </c>
      <c r="G33" s="147">
        <v>71</v>
      </c>
      <c r="H33" s="147">
        <v>116</v>
      </c>
      <c r="I33" s="148">
        <v>105</v>
      </c>
      <c r="J33" s="149">
        <f>=SUM(D33:I33)</f>
        <v>626</v>
      </c>
      <c r="K33" s="150">
        <f>=J33-MIN(E33,F33)</f>
        <v>558</v>
      </c>
      <c r="L33" s="127">
        <f>=(2.04*D33+246.4)*(1.1*(G33+H33)+186)</f>
        <v>198795.584</v>
      </c>
      <c r="M33" s="34">
        <v>42</v>
      </c>
      <c r="N33" s="151" t="s">
        <v>56</v>
      </c>
      <c r="O33" s="146" t="s">
        <v>155</v>
      </c>
      <c r="P33" s="162" t="s"/>
      <c r="Q33" s="162" t="s"/>
      <c r="R33" s="162" t="s"/>
      <c r="S33" s="146" t="s">
        <v>156</v>
      </c>
    </row>
    <row r="34" spans="1:23" ht="13.55" customHeight="1">
      <c r="A34" s="146" t="s">
        <v>108</v>
      </c>
      <c r="B34" s="146" t="s">
        <v>109</v>
      </c>
      <c r="C34" s="146" t="s">
        <v>110</v>
      </c>
      <c r="D34" s="147">
        <v>78</v>
      </c>
      <c r="E34" s="147">
        <v>120</v>
      </c>
      <c r="F34" s="147">
        <v>39</v>
      </c>
      <c r="G34" s="147">
        <v>124</v>
      </c>
      <c r="H34" s="147">
        <v>113</v>
      </c>
      <c r="I34" s="148">
        <v>130</v>
      </c>
      <c r="J34" s="149">
        <f>=SUM(D34:I34)</f>
        <v>604</v>
      </c>
      <c r="K34" s="150">
        <f>=J34-MIN(E34,F34)</f>
        <v>565</v>
      </c>
      <c r="L34" s="127">
        <f>=(2.04*D34+246.4)*(1.1*(G34+H34)+186)</f>
        <v>181145.784</v>
      </c>
      <c r="M34" s="115">
        <v>43</v>
      </c>
      <c r="N34" s="161" t="s">
        <v>56</v>
      </c>
      <c r="O34" s="146" t="s">
        <v>111</v>
      </c>
      <c r="P34" s="162" t="s"/>
      <c r="Q34" s="162" t="s"/>
      <c r="R34" s="162" t="s"/>
      <c r="S34" s="146" t="s">
        <v>112</v>
      </c>
      <c r="T34" s="200" t="s"/>
      <c r="U34" s="200" t="s"/>
      <c r="V34" s="200" t="s"/>
      <c r="W34" s="200" t="s"/>
    </row>
    <row r="35" spans="1:40" s="254" customFormat="1" ht="13.55" customHeight="1">
      <c r="A35" s="146" t="s">
        <v>168</v>
      </c>
      <c r="B35" s="146" t="s">
        <v>169</v>
      </c>
      <c r="C35" s="146" t="s">
        <v>170</v>
      </c>
      <c r="D35" s="147">
        <v>78</v>
      </c>
      <c r="E35" s="147">
        <v>58</v>
      </c>
      <c r="F35" s="147">
        <v>148</v>
      </c>
      <c r="G35" s="147">
        <v>96</v>
      </c>
      <c r="H35" s="147">
        <v>120</v>
      </c>
      <c r="I35" s="148">
        <v>110</v>
      </c>
      <c r="J35" s="149">
        <f>=SUM(D35:I35)</f>
        <v>610</v>
      </c>
      <c r="K35" s="150">
        <f>=J35-MIN(E35,F35)</f>
        <v>552</v>
      </c>
      <c r="L35" s="127">
        <f>=(2.04*D35+246.4)*(1.1*(G35+H35)+186)</f>
        <v>171778.272</v>
      </c>
      <c r="M35" s="115">
        <v>45</v>
      </c>
      <c r="N35" s="161" t="s">
        <v>56</v>
      </c>
      <c r="O35" s="146" t="s">
        <v>171</v>
      </c>
      <c r="P35" s="162" t="s"/>
      <c r="Q35" s="162" t="s"/>
      <c r="R35" s="162" t="s"/>
      <c r="S35" s="146" t="s">
        <v>172</v>
      </c>
      <c r="T35" s="175" t="s"/>
      <c r="U35" s="175" t="s"/>
      <c r="V35" s="175" t="s"/>
      <c r="W35" s="175" t="s"/>
      <c r="AA35" s="171" t="s"/>
      <c r="AB35" s="171" t="s"/>
      <c r="AC35" s="171" t="s"/>
      <c r="AD35" s="171" t="s"/>
      <c r="AE35" s="171" t="s"/>
      <c r="AF35" s="171" t="s"/>
      <c r="AG35" s="171" t="s"/>
      <c r="AH35" s="171" t="s"/>
      <c r="AI35" s="171" t="s"/>
      <c r="AJ35" s="171" t="s"/>
      <c r="AK35" s="171" t="s"/>
      <c r="AL35" s="171" t="s"/>
      <c r="AM35" s="171" t="s"/>
      <c r="AN35" s="171" t="s"/>
    </row>
    <row r="36" spans="1:40" s="254" customFormat="1" ht="13.55" customHeight="1">
      <c r="A36" s="30" t="s">
        <v>103</v>
      </c>
      <c r="B36" s="30" t="s">
        <v>104</v>
      </c>
      <c r="C36" s="30" t="s">
        <v>105</v>
      </c>
      <c r="D36" s="31">
        <v>132</v>
      </c>
      <c r="E36" s="31">
        <v>93</v>
      </c>
      <c r="F36" s="31">
        <v>87</v>
      </c>
      <c r="G36" s="31">
        <v>130</v>
      </c>
      <c r="H36" s="31">
        <v>90</v>
      </c>
      <c r="I36" s="32">
        <v>120</v>
      </c>
      <c r="J36" s="33">
        <f>=SUM(D36:I36)</f>
        <v>652</v>
      </c>
      <c r="K36" s="34">
        <f>=J36-MIN(E36,F36)</f>
        <v>565</v>
      </c>
      <c r="L36" s="35">
        <f>=(2.04*D36+246.4)*(1.1*(G36+H36)+186)</f>
        <v>220711.04</v>
      </c>
      <c r="M36" s="34">
        <v>46</v>
      </c>
      <c r="N36" s="36" t="s">
        <v>56</v>
      </c>
      <c r="O36" s="30" t="s">
        <v>106</v>
      </c>
      <c r="P36" s="120" t="s"/>
      <c r="Q36" s="120" t="s"/>
      <c r="R36" s="120" t="s"/>
      <c r="S36" s="30" t="s">
        <v>107</v>
      </c>
      <c r="T36" s="43" t="s"/>
      <c r="U36" s="43" t="s"/>
      <c r="V36" s="43" t="s"/>
      <c r="W36" s="43" t="s"/>
      <c r="AA36" s="237" t="s"/>
      <c r="AB36" s="237" t="s"/>
      <c r="AC36" s="237" t="s"/>
      <c r="AD36" s="237" t="s"/>
      <c r="AE36" s="237" t="s"/>
      <c r="AF36" s="237" t="s"/>
      <c r="AG36" s="237" t="s"/>
      <c r="AH36" s="237" t="s"/>
      <c r="AI36" s="237" t="s"/>
      <c r="AJ36" s="237" t="s"/>
      <c r="AK36" s="237" t="s"/>
      <c r="AL36" s="237" t="s"/>
      <c r="AM36" s="237" t="s"/>
      <c r="AN36" s="237" t="s"/>
    </row>
    <row r="37" spans="1:19" ht="13.55" customHeight="1">
      <c r="A37" s="163" t="s">
        <v>379</v>
      </c>
      <c r="B37" s="163" t="s">
        <v>380</v>
      </c>
      <c r="C37" s="163" t="s">
        <v>381</v>
      </c>
      <c r="D37" s="164">
        <v>97</v>
      </c>
      <c r="E37" s="164">
        <v>114</v>
      </c>
      <c r="F37" s="164">
        <v>110</v>
      </c>
      <c r="G37" s="164">
        <v>101</v>
      </c>
      <c r="H37" s="164">
        <v>89</v>
      </c>
      <c r="I37" s="165">
        <v>120</v>
      </c>
      <c r="J37" s="166">
        <f>=SUM(D37:I37)</f>
        <v>631</v>
      </c>
      <c r="K37" s="167">
        <f>=J37-MIN(E37,F37)</f>
        <v>521</v>
      </c>
      <c r="L37" s="128">
        <f>=(2.04*D37+246.4)*(1.1*(G37+H37)+186)</f>
        <v>175490.6</v>
      </c>
      <c r="M37" s="114">
        <v>47</v>
      </c>
      <c r="N37" s="168" t="s">
        <v>56</v>
      </c>
      <c r="O37" s="163" t="s">
        <v>382</v>
      </c>
      <c r="P37" s="187" t="s"/>
      <c r="Q37" s="187" t="s"/>
      <c r="R37" s="187" t="s"/>
      <c r="S37" s="163" t="s">
        <v>383</v>
      </c>
    </row>
    <row r="38" spans="1:40" s="254" customFormat="1" ht="13.55" customHeight="1">
      <c r="A38" s="30" t="s">
        <v>164</v>
      </c>
      <c r="B38" s="30" t="s">
        <v>165</v>
      </c>
      <c r="C38" s="30" t="s">
        <v>18</v>
      </c>
      <c r="D38" s="31">
        <v>103</v>
      </c>
      <c r="E38" s="31">
        <v>105</v>
      </c>
      <c r="F38" s="31">
        <v>97</v>
      </c>
      <c r="G38" s="31">
        <v>136</v>
      </c>
      <c r="H38" s="31">
        <v>136</v>
      </c>
      <c r="I38" s="32">
        <v>75</v>
      </c>
      <c r="J38" s="33">
        <f>=SUM(D38:I38)</f>
        <v>652</v>
      </c>
      <c r="K38" s="34">
        <f>=J38-MIN(E38,F38)</f>
        <v>555</v>
      </c>
      <c r="L38" s="35">
        <f>=(2.04*D38+246.4)*(1.1*(G38+H38)+186)</f>
        <v>221503.504</v>
      </c>
      <c r="M38" s="115">
        <v>48</v>
      </c>
      <c r="N38" s="63" t="s">
        <v>56</v>
      </c>
      <c r="O38" s="30" t="s">
        <v>166</v>
      </c>
      <c r="P38" s="120" t="s"/>
      <c r="Q38" s="120" t="s"/>
      <c r="R38" s="120" t="s"/>
      <c r="S38" s="30" t="s">
        <v>167</v>
      </c>
      <c r="T38" s="109" t="s"/>
      <c r="U38" s="109" t="s"/>
      <c r="V38" s="109" t="s"/>
      <c r="W38" s="109" t="s"/>
      <c r="AA38" s="237" t="s"/>
      <c r="AB38" s="237" t="s"/>
      <c r="AC38" s="237" t="s"/>
      <c r="AD38" s="237" t="s"/>
      <c r="AE38" s="237" t="s"/>
      <c r="AF38" s="237" t="s"/>
      <c r="AG38" s="237" t="s"/>
      <c r="AH38" s="237" t="s"/>
      <c r="AI38" s="237" t="s"/>
      <c r="AJ38" s="237" t="s"/>
      <c r="AK38" s="237" t="s"/>
      <c r="AL38" s="237" t="s"/>
      <c r="AM38" s="237" t="s"/>
      <c r="AN38" s="237" t="s"/>
    </row>
    <row r="39" spans="1:19" ht="13.55" customHeight="1">
      <c r="A39" s="146" t="s">
        <v>812</v>
      </c>
      <c r="B39" s="146" t="s">
        <v>813</v>
      </c>
      <c r="C39" s="146" t="s">
        <v>360</v>
      </c>
      <c r="D39" s="147">
        <v>74</v>
      </c>
      <c r="E39" s="147">
        <v>75</v>
      </c>
      <c r="F39" s="147">
        <v>20</v>
      </c>
      <c r="G39" s="147">
        <v>81</v>
      </c>
      <c r="H39" s="147">
        <v>67</v>
      </c>
      <c r="I39" s="148">
        <v>130</v>
      </c>
      <c r="J39" s="149">
        <f>=SUM(D39:I39)</f>
        <v>447</v>
      </c>
      <c r="K39" s="150">
        <f>=J39-MIN(E39,F39)</f>
        <v>427</v>
      </c>
      <c r="L39" s="127">
        <f>=(2.04*D39+246.4)*(1.1*(G39+H39)+186)</f>
        <v>138599.168</v>
      </c>
      <c r="M39" s="34">
        <v>49</v>
      </c>
      <c r="N39" s="151" t="s">
        <v>56</v>
      </c>
      <c r="O39" s="146" t="s">
        <v>814</v>
      </c>
      <c r="P39" s="162" t="s"/>
      <c r="Q39" s="162" t="s"/>
      <c r="R39" s="162" t="s"/>
      <c r="S39" s="146" t="s">
        <v>815</v>
      </c>
    </row>
    <row r="40" spans="1:19" ht="13.55" customHeight="1">
      <c r="A40" s="146" t="s">
        <v>425</v>
      </c>
      <c r="B40" s="146" t="s">
        <v>426</v>
      </c>
      <c r="C40" s="146" t="s">
        <v>427</v>
      </c>
      <c r="D40" s="147">
        <v>75</v>
      </c>
      <c r="E40" s="147">
        <v>101</v>
      </c>
      <c r="F40" s="147">
        <v>106</v>
      </c>
      <c r="G40" s="147">
        <v>90</v>
      </c>
      <c r="H40" s="147">
        <v>110</v>
      </c>
      <c r="I40" s="148">
        <v>135</v>
      </c>
      <c r="J40" s="149">
        <f>=SUM(D40:I40)</f>
        <v>617</v>
      </c>
      <c r="K40" s="150">
        <f>=J40-MIN(E40,F40)</f>
        <v>516</v>
      </c>
      <c r="L40" s="127">
        <f>=(2.04*D40+246.4)*(1.1*(G40+H40)+186)</f>
        <v>162156.4</v>
      </c>
      <c r="M40" s="115">
        <v>52</v>
      </c>
      <c r="N40" s="161" t="s">
        <v>56</v>
      </c>
      <c r="O40" s="146" t="s">
        <v>428</v>
      </c>
      <c r="P40" s="162" t="s"/>
      <c r="Q40" s="162" t="s"/>
      <c r="R40" s="162" t="s"/>
      <c r="S40" s="146" t="s">
        <v>429</v>
      </c>
    </row>
    <row r="41" spans="1:19" ht="13.55" customHeight="1">
      <c r="A41" s="146" t="s">
        <v>626</v>
      </c>
      <c r="B41" s="146" t="s">
        <v>627</v>
      </c>
      <c r="C41" s="146" t="s">
        <v>628</v>
      </c>
      <c r="D41" s="147">
        <v>84</v>
      </c>
      <c r="E41" s="147">
        <v>80</v>
      </c>
      <c r="F41" s="147">
        <v>21</v>
      </c>
      <c r="G41" s="147">
        <v>101</v>
      </c>
      <c r="H41" s="147">
        <v>74</v>
      </c>
      <c r="I41" s="148">
        <v>135</v>
      </c>
      <c r="J41" s="149">
        <f>=SUM(D41:I41)</f>
        <v>495</v>
      </c>
      <c r="K41" s="150">
        <f>=J41-MIN(E41,F41)</f>
        <v>474</v>
      </c>
      <c r="L41" s="127">
        <f>=(2.04*D41+246.4)*(1.1*(G41+H41)+186)</f>
        <v>158122.16</v>
      </c>
      <c r="M41" s="115">
        <v>53</v>
      </c>
      <c r="N41" s="161" t="s">
        <v>56</v>
      </c>
      <c r="O41" s="146" t="s">
        <v>629</v>
      </c>
      <c r="P41" s="162" t="s"/>
      <c r="Q41" s="162" t="s"/>
      <c r="R41" s="162" t="s"/>
      <c r="S41" s="146" t="s">
        <v>630</v>
      </c>
    </row>
    <row r="42" spans="1:19" ht="13.55" customHeight="1">
      <c r="A42" s="179" t="s">
        <v>467</v>
      </c>
      <c r="B42" s="188" t="s">
        <v>468</v>
      </c>
      <c r="C42" s="179" t="s">
        <v>80</v>
      </c>
      <c r="D42" s="180">
        <v>115</v>
      </c>
      <c r="E42" s="180">
        <v>121</v>
      </c>
      <c r="F42" s="180">
        <v>50</v>
      </c>
      <c r="G42" s="180">
        <v>91</v>
      </c>
      <c r="H42" s="180">
        <v>63</v>
      </c>
      <c r="I42" s="181">
        <v>120</v>
      </c>
      <c r="J42" s="182">
        <f>=SUM(D42:I42)</f>
        <v>560</v>
      </c>
      <c r="K42" s="183">
        <f>=J42-MIN(E42,F42)</f>
        <v>510</v>
      </c>
      <c r="L42" s="130">
        <f>=(2.04*D42+246.4)*(1.1*(G42+H42)+186)</f>
        <v>170947.4</v>
      </c>
      <c r="M42" s="49">
        <v>54</v>
      </c>
      <c r="N42" s="184" t="s">
        <v>56</v>
      </c>
      <c r="O42" s="179" t="s">
        <v>469</v>
      </c>
      <c r="P42" s="185" t="s"/>
      <c r="Q42" s="185" t="s"/>
      <c r="R42" s="185" t="s"/>
      <c r="S42" s="179" t="s">
        <v>470</v>
      </c>
    </row>
    <row r="43" spans="1:40" s="254" customFormat="1" ht="13.55" customHeight="1">
      <c r="A43" s="146" t="s">
        <v>546</v>
      </c>
      <c r="B43" s="146" t="s">
        <v>547</v>
      </c>
      <c r="C43" s="146" t="s">
        <v>548</v>
      </c>
      <c r="D43" s="147">
        <v>90</v>
      </c>
      <c r="E43" s="147">
        <v>113</v>
      </c>
      <c r="F43" s="147">
        <v>109</v>
      </c>
      <c r="G43" s="147">
        <v>111</v>
      </c>
      <c r="H43" s="147">
        <v>77</v>
      </c>
      <c r="I43" s="148">
        <v>100</v>
      </c>
      <c r="J43" s="149">
        <f>=SUM(D43:I43)</f>
        <v>600</v>
      </c>
      <c r="K43" s="150">
        <f>=J43-MIN(E43,F43)</f>
        <v>491</v>
      </c>
      <c r="L43" s="127">
        <f>=(2.04*D43+246.4)*(1.1*(G43+H43)+186)</f>
        <v>168904</v>
      </c>
      <c r="M43" s="115">
        <v>55</v>
      </c>
      <c r="N43" s="161" t="s">
        <v>56</v>
      </c>
      <c r="O43" s="146" t="s">
        <v>549</v>
      </c>
      <c r="P43" s="162" t="s"/>
      <c r="Q43" s="162" t="s"/>
      <c r="R43" s="162" t="s"/>
      <c r="S43" s="146" t="s">
        <v>550</v>
      </c>
      <c r="AA43" s="171" t="s"/>
      <c r="AB43" s="171" t="s"/>
      <c r="AC43" s="171" t="s"/>
      <c r="AD43" s="171" t="s"/>
      <c r="AE43" s="171" t="s"/>
      <c r="AF43" s="171" t="s"/>
      <c r="AG43" s="171" t="s"/>
      <c r="AH43" s="171" t="s"/>
      <c r="AI43" s="171" t="s"/>
      <c r="AJ43" s="171" t="s"/>
      <c r="AK43" s="171" t="s"/>
      <c r="AL43" s="171" t="s"/>
      <c r="AM43" s="171" t="s"/>
      <c r="AN43" s="171" t="s"/>
    </row>
    <row r="44" spans="1:19" ht="13.55" customHeight="1">
      <c r="A44" s="163" t="s">
        <v>471</v>
      </c>
      <c r="B44" s="163" t="s">
        <v>472</v>
      </c>
      <c r="C44" s="163" t="s">
        <v>473</v>
      </c>
      <c r="D44" s="164">
        <v>78</v>
      </c>
      <c r="E44" s="164">
        <v>116</v>
      </c>
      <c r="F44" s="164">
        <v>109</v>
      </c>
      <c r="G44" s="164">
        <v>85</v>
      </c>
      <c r="H44" s="164">
        <v>85</v>
      </c>
      <c r="I44" s="165">
        <v>145</v>
      </c>
      <c r="J44" s="166">
        <f>=SUM(D44:I44)</f>
        <v>618</v>
      </c>
      <c r="K44" s="167">
        <f>=J44-MIN(E44,F44)</f>
        <v>509</v>
      </c>
      <c r="L44" s="128">
        <f>=(2.04*D44+246.4)*(1.1*(G44+H44)+186)</f>
        <v>151258.96</v>
      </c>
      <c r="M44" s="114">
        <v>56</v>
      </c>
      <c r="N44" s="168" t="s">
        <v>56</v>
      </c>
      <c r="O44" s="163" t="s">
        <v>474</v>
      </c>
      <c r="P44" s="187" t="s"/>
      <c r="Q44" s="187" t="s"/>
      <c r="R44" s="187" t="s"/>
      <c r="S44" s="163" t="s">
        <v>475</v>
      </c>
    </row>
    <row r="45" spans="1:23" ht="13.55" customHeight="1">
      <c r="A45" s="146" t="s">
        <v>483</v>
      </c>
      <c r="B45" s="146" t="s">
        <v>484</v>
      </c>
      <c r="C45" s="146" t="s">
        <v>221</v>
      </c>
      <c r="D45" s="147">
        <v>118</v>
      </c>
      <c r="E45" s="147">
        <v>41</v>
      </c>
      <c r="F45" s="147">
        <v>99</v>
      </c>
      <c r="G45" s="147">
        <v>76</v>
      </c>
      <c r="H45" s="147">
        <v>111</v>
      </c>
      <c r="I45" s="148">
        <v>100</v>
      </c>
      <c r="J45" s="149">
        <f>=SUM(D45:I45)</f>
        <v>545</v>
      </c>
      <c r="K45" s="150">
        <f>=J45-MIN(E45,F45)</f>
        <v>504</v>
      </c>
      <c r="L45" s="127">
        <f>=(2.04*D45+246.4)*(1.1*(G45+H45)+186)</f>
        <v>190804.904</v>
      </c>
      <c r="M45" s="34">
        <v>57</v>
      </c>
      <c r="N45" s="151" t="s">
        <v>56</v>
      </c>
      <c r="O45" s="146" t="s">
        <v>485</v>
      </c>
      <c r="P45" s="162" t="s"/>
      <c r="Q45" s="162" t="s"/>
      <c r="R45" s="162" t="s"/>
      <c r="S45" s="146" t="s">
        <v>486</v>
      </c>
      <c r="T45" s="178" t="s"/>
      <c r="U45" s="178" t="s"/>
      <c r="V45" s="178" t="s"/>
      <c r="W45" s="178" t="s"/>
    </row>
    <row r="46" spans="1:23" ht="13.55" customHeight="1">
      <c r="A46" s="163" t="s">
        <v>68</v>
      </c>
      <c r="B46" s="163" t="s">
        <v>69</v>
      </c>
      <c r="C46" s="163" t="s">
        <v>70</v>
      </c>
      <c r="D46" s="164">
        <v>105</v>
      </c>
      <c r="E46" s="164">
        <v>139</v>
      </c>
      <c r="F46" s="164">
        <v>57</v>
      </c>
      <c r="G46" s="164">
        <v>128</v>
      </c>
      <c r="H46" s="164">
        <v>100</v>
      </c>
      <c r="I46" s="165">
        <v>105</v>
      </c>
      <c r="J46" s="166">
        <f>=SUM(D46:I46)</f>
        <v>634</v>
      </c>
      <c r="K46" s="167">
        <f>=J46-MIN(E46,F46)</f>
        <v>577</v>
      </c>
      <c r="L46" s="128">
        <f>=(2.04*D46+246.4)*(1.1*(G46+H46)+186)</f>
        <v>201190.08</v>
      </c>
      <c r="M46" s="114">
        <v>58</v>
      </c>
      <c r="N46" s="168" t="s">
        <v>56</v>
      </c>
      <c r="O46" s="163" t="s">
        <v>71</v>
      </c>
      <c r="P46" s="187" t="s"/>
      <c r="Q46" s="187" t="s"/>
      <c r="R46" s="187" t="s"/>
      <c r="S46" s="163" t="s">
        <v>72</v>
      </c>
      <c r="T46" s="175" t="s"/>
      <c r="U46" s="175" t="s"/>
      <c r="V46" s="175" t="s"/>
      <c r="W46" s="175" t="s"/>
    </row>
    <row r="47" spans="1:23" ht="13.55" customHeight="1">
      <c r="A47" s="163" t="s">
        <v>398</v>
      </c>
      <c r="B47" s="163" t="s">
        <v>399</v>
      </c>
      <c r="C47" s="163" t="s">
        <v>80</v>
      </c>
      <c r="D47" s="164">
        <v>100</v>
      </c>
      <c r="E47" s="164">
        <v>115</v>
      </c>
      <c r="F47" s="164">
        <v>105</v>
      </c>
      <c r="G47" s="164">
        <v>104</v>
      </c>
      <c r="H47" s="164">
        <v>85</v>
      </c>
      <c r="I47" s="165">
        <v>115</v>
      </c>
      <c r="J47" s="166">
        <f>=SUM(D47:I47)</f>
        <v>624</v>
      </c>
      <c r="K47" s="167">
        <f>=J47-MIN(E47,F47)</f>
        <v>519</v>
      </c>
      <c r="L47" s="128">
        <f>=(2.04*D47+246.4)*(1.1*(G47+H47)+186)</f>
        <v>177412.56</v>
      </c>
      <c r="M47" s="114">
        <v>59</v>
      </c>
      <c r="N47" s="168" t="s">
        <v>56</v>
      </c>
      <c r="O47" s="163" t="s">
        <v>400</v>
      </c>
      <c r="P47" s="187" t="s"/>
      <c r="Q47" s="187" t="s"/>
      <c r="R47" s="187" t="s"/>
      <c r="S47" s="163" t="s">
        <v>401</v>
      </c>
      <c r="T47" s="178" t="s"/>
      <c r="U47" s="178" t="s"/>
      <c r="V47" s="178" t="s"/>
      <c r="W47" s="178" t="s"/>
    </row>
    <row r="48" spans="1:40" s="256" customFormat="1" ht="13.55" customHeight="1">
      <c r="A48" s="146" t="s">
        <v>936</v>
      </c>
      <c r="B48" s="146" t="s">
        <v>937</v>
      </c>
      <c r="C48" s="146" t="s">
        <v>130</v>
      </c>
      <c r="D48" s="147">
        <v>124</v>
      </c>
      <c r="E48" s="147">
        <v>63</v>
      </c>
      <c r="F48" s="147">
        <v>69</v>
      </c>
      <c r="G48" s="147">
        <v>50</v>
      </c>
      <c r="H48" s="147">
        <v>100</v>
      </c>
      <c r="I48" s="148">
        <v>60</v>
      </c>
      <c r="J48" s="149">
        <f>=SUM(D48:I48)</f>
        <v>466</v>
      </c>
      <c r="K48" s="150">
        <f>=J48-MIN(E48,F48)</f>
        <v>403</v>
      </c>
      <c r="L48" s="127">
        <f>=(2.04*D48+246.4)*(1.1*(G48+H48)+186)</f>
        <v>175275.36</v>
      </c>
      <c r="M48" s="34">
        <v>60</v>
      </c>
      <c r="N48" s="151" t="s">
        <v>56</v>
      </c>
      <c r="O48" s="146" t="s">
        <v>938</v>
      </c>
      <c r="P48" s="152" t="s"/>
      <c r="Q48" s="152" t="s"/>
      <c r="R48" s="152" t="s"/>
      <c r="S48" s="146" t="s">
        <v>939</v>
      </c>
      <c r="T48" s="153" t="s"/>
      <c r="U48" s="153" t="s"/>
      <c r="V48" s="153" t="s"/>
      <c r="W48" s="153" t="s"/>
      <c r="AA48" s="176" t="s"/>
      <c r="AB48" s="176" t="s"/>
      <c r="AC48" s="176" t="s"/>
      <c r="AD48" s="176" t="s"/>
      <c r="AE48" s="176" t="s"/>
      <c r="AF48" s="176" t="s"/>
      <c r="AG48" s="176" t="s"/>
      <c r="AH48" s="176" t="s"/>
      <c r="AI48" s="176" t="s"/>
      <c r="AJ48" s="176" t="s"/>
      <c r="AK48" s="176" t="s"/>
      <c r="AL48" s="176" t="s"/>
      <c r="AM48" s="176" t="s"/>
      <c r="AN48" s="176" t="s"/>
    </row>
    <row r="49" spans="1:40" s="254" customFormat="1" ht="13.55" customHeight="1">
      <c r="A49" s="30" t="s">
        <v>606</v>
      </c>
      <c r="B49" s="30" t="s">
        <v>607</v>
      </c>
      <c r="C49" s="30" t="s">
        <v>85</v>
      </c>
      <c r="D49" s="31">
        <v>114</v>
      </c>
      <c r="E49" s="31">
        <v>84</v>
      </c>
      <c r="F49" s="31">
        <v>79</v>
      </c>
      <c r="G49" s="31">
        <v>111</v>
      </c>
      <c r="H49" s="31">
        <v>87</v>
      </c>
      <c r="I49" s="32">
        <v>80</v>
      </c>
      <c r="J49" s="33">
        <f>=SUM(D49:I49)</f>
        <v>555</v>
      </c>
      <c r="K49" s="34">
        <f>=J49-MIN(E49,F49)</f>
        <v>476</v>
      </c>
      <c r="L49" s="35">
        <f>=(2.04*D49+246.4)*(1.1*(G49+H49)+186)</f>
        <v>193404.048</v>
      </c>
      <c r="M49" s="115">
        <v>61</v>
      </c>
      <c r="N49" s="63" t="s">
        <v>56</v>
      </c>
      <c r="O49" s="30" t="s">
        <v>608</v>
      </c>
      <c r="P49" s="120" t="s"/>
      <c r="Q49" s="120" t="s"/>
      <c r="R49" s="120" t="s"/>
      <c r="S49" s="30" t="s">
        <v>609</v>
      </c>
      <c r="T49" s="109" t="s"/>
      <c r="U49" s="109" t="s"/>
      <c r="V49" s="109" t="s"/>
      <c r="W49" s="109" t="s"/>
      <c r="AA49" s="237" t="s"/>
      <c r="AB49" s="237" t="s"/>
      <c r="AC49" s="237" t="s"/>
      <c r="AD49" s="237" t="s"/>
      <c r="AE49" s="237" t="s"/>
      <c r="AF49" s="237" t="s"/>
      <c r="AG49" s="237" t="s"/>
      <c r="AH49" s="237" t="s"/>
      <c r="AI49" s="237" t="s"/>
      <c r="AJ49" s="237" t="s"/>
      <c r="AK49" s="237" t="s"/>
      <c r="AL49" s="237" t="s"/>
      <c r="AM49" s="237" t="s"/>
      <c r="AN49" s="237" t="s"/>
    </row>
    <row r="50" spans="1:40" s="257" customFormat="1" ht="13.55" customHeight="1">
      <c r="A50" s="54" t="s">
        <v>205</v>
      </c>
      <c r="B50" s="54" t="s">
        <v>206</v>
      </c>
      <c r="C50" s="54" t="s">
        <v>207</v>
      </c>
      <c r="D50" s="55">
        <v>126</v>
      </c>
      <c r="E50" s="55">
        <v>97</v>
      </c>
      <c r="F50" s="55">
        <v>39</v>
      </c>
      <c r="G50" s="55">
        <v>141</v>
      </c>
      <c r="H50" s="55">
        <v>103</v>
      </c>
      <c r="I50" s="56">
        <v>80</v>
      </c>
      <c r="J50" s="57">
        <f>=SUM(D50:I50)</f>
        <v>586</v>
      </c>
      <c r="K50" s="58">
        <f>=J50-MIN(E50,F50)</f>
        <v>547</v>
      </c>
      <c r="L50" s="59">
        <f>=(2.04*D50+246.4)*(1.1*(G50+H50)+186)</f>
        <v>228763.136</v>
      </c>
      <c r="M50" s="58">
        <v>62</v>
      </c>
      <c r="N50" s="66" t="s">
        <v>56</v>
      </c>
      <c r="O50" s="54" t="s">
        <v>208</v>
      </c>
      <c r="P50" s="124" t="s"/>
      <c r="Q50" s="124" t="s"/>
      <c r="R50" s="124" t="s"/>
      <c r="S50" s="54" t="s">
        <v>209</v>
      </c>
      <c r="T50" s="108" t="s"/>
      <c r="U50" s="108" t="s"/>
      <c r="V50" s="108" t="s"/>
      <c r="W50" s="108" t="s"/>
      <c r="AA50" s="62" t="s"/>
      <c r="AB50" s="62" t="s"/>
      <c r="AC50" s="62" t="s"/>
      <c r="AD50" s="62" t="s"/>
      <c r="AE50" s="62" t="s"/>
      <c r="AF50" s="62" t="s"/>
      <c r="AG50" s="62" t="s"/>
      <c r="AH50" s="62" t="s"/>
      <c r="AI50" s="62" t="s"/>
      <c r="AJ50" s="62" t="s"/>
      <c r="AK50" s="62" t="s"/>
      <c r="AL50" s="62" t="s"/>
      <c r="AM50" s="62" t="s"/>
      <c r="AN50" s="62" t="s"/>
    </row>
    <row r="51" spans="1:40" s="257" customFormat="1" ht="13.55" customHeight="1">
      <c r="A51" s="54" t="s">
        <v>147</v>
      </c>
      <c r="B51" s="54" t="s">
        <v>148</v>
      </c>
      <c r="C51" s="54" t="s">
        <v>149</v>
      </c>
      <c r="D51" s="55">
        <v>112</v>
      </c>
      <c r="E51" s="55">
        <v>91</v>
      </c>
      <c r="F51" s="55">
        <v>190</v>
      </c>
      <c r="G51" s="55">
        <v>69</v>
      </c>
      <c r="H51" s="55">
        <v>99</v>
      </c>
      <c r="I51" s="56">
        <v>90</v>
      </c>
      <c r="J51" s="57">
        <f>=SUM(D51:I51)</f>
        <v>651</v>
      </c>
      <c r="K51" s="58">
        <f>=J51-MIN(E51,F51)</f>
        <v>560</v>
      </c>
      <c r="L51" s="59">
        <f>=(2.04*D51+246.4)*(1.1*(G51+H51)+186)</f>
        <v>176085.504</v>
      </c>
      <c r="M51" s="58">
        <v>63</v>
      </c>
      <c r="N51" s="66" t="s">
        <v>56</v>
      </c>
      <c r="O51" s="54" t="s">
        <v>150</v>
      </c>
      <c r="P51" s="124" t="s"/>
      <c r="Q51" s="124" t="s"/>
      <c r="R51" s="124" t="s"/>
      <c r="S51" s="54" t="s">
        <v>151</v>
      </c>
      <c r="T51" s="108" t="s"/>
      <c r="U51" s="108" t="s"/>
      <c r="V51" s="108" t="s"/>
      <c r="W51" s="108" t="s"/>
      <c r="AA51" s="62" t="s"/>
      <c r="AB51" s="62" t="s"/>
      <c r="AC51" s="62" t="s"/>
      <c r="AD51" s="62" t="s"/>
      <c r="AE51" s="62" t="s"/>
      <c r="AF51" s="62" t="s"/>
      <c r="AG51" s="62" t="s"/>
      <c r="AH51" s="62" t="s"/>
      <c r="AI51" s="62" t="s"/>
      <c r="AJ51" s="62" t="s"/>
      <c r="AK51" s="62" t="s"/>
      <c r="AL51" s="62" t="s"/>
      <c r="AM51" s="62" t="s"/>
      <c r="AN51" s="62" t="s"/>
    </row>
    <row r="52" spans="1:40" s="257" customFormat="1" ht="13.55" customHeight="1">
      <c r="A52" s="54" t="s">
        <v>49</v>
      </c>
      <c r="B52" s="54" t="s">
        <v>50</v>
      </c>
      <c r="C52" s="54" t="s">
        <v>51</v>
      </c>
      <c r="D52" s="55">
        <v>144</v>
      </c>
      <c r="E52" s="55">
        <v>157</v>
      </c>
      <c r="F52" s="55">
        <v>64</v>
      </c>
      <c r="G52" s="55">
        <v>135</v>
      </c>
      <c r="H52" s="55">
        <v>110</v>
      </c>
      <c r="I52" s="56">
        <v>75</v>
      </c>
      <c r="J52" s="57">
        <f>=SUM(D52:I52)</f>
        <v>685</v>
      </c>
      <c r="K52" s="58">
        <f>=J52-MIN(E52,F52)</f>
        <v>621</v>
      </c>
      <c r="L52" s="59">
        <f>=(2.04*D52+246.4)*(1.1*(G52+H52)+186)</f>
        <v>246042.88</v>
      </c>
      <c r="M52" s="114">
        <v>64</v>
      </c>
      <c r="N52" s="60" t="s">
        <v>19</v>
      </c>
      <c r="O52" s="54" t="s">
        <v>52</v>
      </c>
      <c r="P52" s="124" t="s"/>
      <c r="Q52" s="124" t="s"/>
      <c r="R52" s="124" t="s"/>
      <c r="S52" s="54" t="s">
        <v>53</v>
      </c>
      <c r="T52" s="108" t="s"/>
      <c r="U52" s="108" t="s"/>
      <c r="V52" s="108" t="s"/>
      <c r="W52" s="108" t="s"/>
      <c r="AA52" s="62" t="s"/>
      <c r="AB52" s="62" t="s"/>
      <c r="AC52" s="62" t="s"/>
      <c r="AD52" s="62" t="s"/>
      <c r="AE52" s="62" t="s"/>
      <c r="AF52" s="62" t="s"/>
      <c r="AG52" s="62" t="s"/>
      <c r="AH52" s="62" t="s"/>
      <c r="AI52" s="62" t="s"/>
      <c r="AJ52" s="62" t="s"/>
      <c r="AK52" s="62" t="s"/>
      <c r="AL52" s="62" t="s"/>
      <c r="AM52" s="62" t="s"/>
      <c r="AN52" s="62" t="s"/>
    </row>
    <row r="53" spans="1:23" ht="13.55" customHeight="1">
      <c r="A53" s="163" t="s">
        <v>29</v>
      </c>
      <c r="B53" s="163" t="s">
        <v>30</v>
      </c>
      <c r="C53" s="163" t="s">
        <v>31</v>
      </c>
      <c r="D53" s="164">
        <v>138</v>
      </c>
      <c r="E53" s="164">
        <v>129</v>
      </c>
      <c r="F53" s="164">
        <v>129</v>
      </c>
      <c r="G53" s="164">
        <v>153</v>
      </c>
      <c r="H53" s="164">
        <v>153</v>
      </c>
      <c r="I53" s="165">
        <v>80</v>
      </c>
      <c r="J53" s="166">
        <f>=SUM(D53:I53)</f>
        <v>782</v>
      </c>
      <c r="K53" s="167">
        <f>=J53-MIN(E53,F53)</f>
        <v>653</v>
      </c>
      <c r="L53" s="128">
        <f>=(2.04*D53+246.4)*(1.1*(G53+H53)+186)</f>
        <v>275890.992</v>
      </c>
      <c r="M53" s="58">
        <v>65</v>
      </c>
      <c r="N53" s="173" t="s">
        <v>19</v>
      </c>
      <c r="O53" s="163" t="s">
        <v>32</v>
      </c>
      <c r="P53" s="169" t="s"/>
      <c r="Q53" s="169" t="s"/>
      <c r="R53" s="169" t="s"/>
      <c r="S53" s="163" t="s">
        <v>33</v>
      </c>
      <c r="T53" s="178" t="s"/>
      <c r="U53" s="178" t="s"/>
      <c r="V53" s="178" t="s"/>
      <c r="W53" s="178" t="s"/>
    </row>
    <row r="54" spans="1:19" ht="13.55" customHeight="1">
      <c r="A54" s="154" t="s">
        <v>533</v>
      </c>
      <c r="B54" s="154" t="s">
        <v>534</v>
      </c>
      <c r="C54" s="154" t="s">
        <v>535</v>
      </c>
      <c r="D54" s="155">
        <v>81</v>
      </c>
      <c r="E54" s="155">
        <v>35</v>
      </c>
      <c r="F54" s="155">
        <v>106</v>
      </c>
      <c r="G54" s="155">
        <v>80</v>
      </c>
      <c r="H54" s="155">
        <v>105</v>
      </c>
      <c r="I54" s="156">
        <v>125</v>
      </c>
      <c r="J54" s="157">
        <f>=SUM(D54:I54)</f>
        <v>532</v>
      </c>
      <c r="K54" s="158">
        <f>=J54-MIN(E54,F54)</f>
        <v>497</v>
      </c>
      <c r="L54" s="129">
        <f>=(2.04*D54+246.4)*(1.1*(G54+H54)+186)</f>
        <v>160333.78</v>
      </c>
      <c r="M54" s="15">
        <v>66</v>
      </c>
      <c r="N54" s="159" t="s">
        <v>56</v>
      </c>
      <c r="O54" s="154" t="s">
        <v>536</v>
      </c>
      <c r="P54" s="160" t="s"/>
      <c r="Q54" s="160" t="s"/>
      <c r="R54" s="160" t="s"/>
      <c r="S54" s="154" t="s">
        <v>537</v>
      </c>
    </row>
    <row r="55" spans="1:40" s="254" customFormat="1" ht="13.55" customHeight="1">
      <c r="A55" s="163" t="s">
        <v>334</v>
      </c>
      <c r="B55" s="163" t="s">
        <v>335</v>
      </c>
      <c r="C55" s="163" t="s">
        <v>336</v>
      </c>
      <c r="D55" s="164">
        <v>94</v>
      </c>
      <c r="E55" s="164">
        <v>56</v>
      </c>
      <c r="F55" s="164">
        <v>126</v>
      </c>
      <c r="G55" s="164">
        <v>73</v>
      </c>
      <c r="H55" s="164">
        <v>109</v>
      </c>
      <c r="I55" s="165">
        <v>125</v>
      </c>
      <c r="J55" s="166">
        <f>=SUM(D55:I55)</f>
        <v>583</v>
      </c>
      <c r="K55" s="167">
        <f>=J55-MIN(E55,F55)</f>
        <v>527</v>
      </c>
      <c r="L55" s="128">
        <f>=(2.04*D55+246.4)*(1.1*(G55+H55)+186)</f>
        <v>169217.392</v>
      </c>
      <c r="M55" s="58">
        <v>68</v>
      </c>
      <c r="N55" s="173" t="s">
        <v>56</v>
      </c>
      <c r="O55" s="163" t="s">
        <v>337</v>
      </c>
      <c r="P55" s="169" t="s"/>
      <c r="Q55" s="169" t="s"/>
      <c r="R55" s="169" t="s"/>
      <c r="S55" s="163" t="s">
        <v>338</v>
      </c>
      <c r="T55" s="170" t="s"/>
      <c r="U55" s="170" t="s"/>
      <c r="V55" s="170" t="s"/>
      <c r="W55" s="170" t="s"/>
      <c r="AA55" s="171" t="s"/>
      <c r="AB55" s="171" t="s"/>
      <c r="AC55" s="171" t="s"/>
      <c r="AD55" s="171" t="s"/>
      <c r="AE55" s="171" t="s"/>
      <c r="AF55" s="171" t="s"/>
      <c r="AG55" s="171" t="s"/>
      <c r="AH55" s="171" t="s"/>
      <c r="AI55" s="171" t="s"/>
      <c r="AJ55" s="171" t="s"/>
      <c r="AK55" s="171" t="s"/>
      <c r="AL55" s="171" t="s"/>
      <c r="AM55" s="171" t="s"/>
      <c r="AN55" s="171" t="s"/>
    </row>
    <row r="56" spans="1:23" ht="13.55" customHeight="1">
      <c r="A56" s="146" t="s">
        <v>597</v>
      </c>
      <c r="B56" s="146" t="s">
        <v>598</v>
      </c>
      <c r="C56" s="146" t="s">
        <v>599</v>
      </c>
      <c r="D56" s="147">
        <v>106</v>
      </c>
      <c r="E56" s="147">
        <v>79</v>
      </c>
      <c r="F56" s="147">
        <v>79</v>
      </c>
      <c r="G56" s="147">
        <v>80</v>
      </c>
      <c r="H56" s="147">
        <v>114</v>
      </c>
      <c r="I56" s="148">
        <v>100</v>
      </c>
      <c r="J56" s="149">
        <f>=SUM(D56:I56)</f>
        <v>558</v>
      </c>
      <c r="K56" s="150">
        <f>=J56-MIN(E56,F56)</f>
        <v>479</v>
      </c>
      <c r="L56" s="127">
        <f>=(2.04*D56+246.4)*(1.1*(G56+H56)+186)</f>
        <v>184778.416</v>
      </c>
      <c r="M56" s="115">
        <v>69</v>
      </c>
      <c r="N56" s="161" t="s">
        <v>56</v>
      </c>
      <c r="O56" s="146" t="s">
        <v>600</v>
      </c>
      <c r="P56" s="152" t="s"/>
      <c r="Q56" s="152" t="s"/>
      <c r="R56" s="152" t="s"/>
      <c r="S56" s="146" t="s">
        <v>601</v>
      </c>
      <c r="T56" s="153" t="s"/>
      <c r="U56" s="153" t="s"/>
      <c r="V56" s="153" t="s"/>
      <c r="W56" s="153" t="s"/>
    </row>
    <row r="57" spans="1:40" s="257" customFormat="1" ht="13.55" customHeight="1">
      <c r="A57" s="54" t="s">
        <v>123</v>
      </c>
      <c r="B57" s="54" t="s">
        <v>124</v>
      </c>
      <c r="C57" s="54" t="s">
        <v>125</v>
      </c>
      <c r="D57" s="55">
        <v>125</v>
      </c>
      <c r="E57" s="55">
        <v>58</v>
      </c>
      <c r="F57" s="55">
        <v>127</v>
      </c>
      <c r="G57" s="55">
        <v>94</v>
      </c>
      <c r="H57" s="55">
        <v>132</v>
      </c>
      <c r="I57" s="56">
        <v>85</v>
      </c>
      <c r="J57" s="57">
        <f>=SUM(D57:I57)</f>
        <v>621</v>
      </c>
      <c r="K57" s="58">
        <f>=J57-MIN(E57,F57)</f>
        <v>563</v>
      </c>
      <c r="L57" s="59">
        <f>=(2.04*D57+246.4)*(1.1*(G57+H57)+186)</f>
        <v>217908.44</v>
      </c>
      <c r="M57" s="58">
        <v>71</v>
      </c>
      <c r="N57" s="66" t="s">
        <v>56</v>
      </c>
      <c r="O57" s="54" t="s">
        <v>126</v>
      </c>
      <c r="P57" s="124" t="s"/>
      <c r="Q57" s="124" t="s"/>
      <c r="R57" s="124" t="s"/>
      <c r="S57" s="54" t="s">
        <v>127</v>
      </c>
      <c r="T57" s="108" t="s"/>
      <c r="U57" s="108" t="s"/>
      <c r="V57" s="108" t="s"/>
      <c r="W57" s="108" t="s"/>
      <c r="AA57" s="238" t="s"/>
      <c r="AB57" s="238" t="s"/>
      <c r="AC57" s="238" t="s"/>
      <c r="AD57" s="238" t="s"/>
      <c r="AE57" s="238" t="s"/>
      <c r="AF57" s="238" t="s"/>
      <c r="AG57" s="238" t="s"/>
      <c r="AH57" s="238" t="s"/>
      <c r="AI57" s="238" t="s"/>
      <c r="AJ57" s="238" t="s"/>
      <c r="AK57" s="238" t="s"/>
      <c r="AL57" s="238" t="s"/>
      <c r="AM57" s="238" t="s"/>
      <c r="AN57" s="238" t="s"/>
    </row>
    <row r="58" spans="1:40" s="257" customFormat="1" ht="13.55" customHeight="1">
      <c r="A58" s="54" t="s">
        <v>375</v>
      </c>
      <c r="B58" s="54" t="s">
        <v>376</v>
      </c>
      <c r="C58" s="54" t="s">
        <v>85</v>
      </c>
      <c r="D58" s="55">
        <v>158</v>
      </c>
      <c r="E58" s="55">
        <v>93</v>
      </c>
      <c r="F58" s="55">
        <v>41</v>
      </c>
      <c r="G58" s="55">
        <v>117</v>
      </c>
      <c r="H58" s="55">
        <v>68</v>
      </c>
      <c r="I58" s="56">
        <v>85</v>
      </c>
      <c r="J58" s="57">
        <f>=SUM(D58:I58)</f>
        <v>562</v>
      </c>
      <c r="K58" s="58">
        <f>=J58-MIN(E58,F58)</f>
        <v>521</v>
      </c>
      <c r="L58" s="59">
        <f>=(2.04*D58+246.4)*(1.1*(G58+H58)+186)</f>
        <v>221516.44</v>
      </c>
      <c r="M58" s="58">
        <v>73</v>
      </c>
      <c r="N58" s="66" t="s">
        <v>56</v>
      </c>
      <c r="O58" s="54" t="s">
        <v>377</v>
      </c>
      <c r="P58" s="124" t="s"/>
      <c r="Q58" s="124" t="s"/>
      <c r="R58" s="124" t="s"/>
      <c r="S58" s="54" t="s">
        <v>378</v>
      </c>
      <c r="T58" s="108" t="s"/>
      <c r="U58" s="108" t="s"/>
      <c r="V58" s="108" t="s"/>
      <c r="W58" s="108" t="s"/>
      <c r="AA58" s="62" t="s"/>
      <c r="AB58" s="62" t="s"/>
      <c r="AC58" s="62" t="s"/>
      <c r="AD58" s="62" t="s"/>
      <c r="AE58" s="62" t="s"/>
      <c r="AF58" s="62" t="s"/>
      <c r="AG58" s="62" t="s"/>
      <c r="AH58" s="62" t="s"/>
      <c r="AI58" s="62" t="s"/>
      <c r="AJ58" s="62" t="s"/>
      <c r="AK58" s="62" t="s"/>
      <c r="AL58" s="62" t="s"/>
      <c r="AM58" s="62" t="s"/>
      <c r="AN58" s="62" t="s"/>
    </row>
    <row r="59" spans="1:23" ht="13.55" customHeight="1">
      <c r="A59" s="163" t="s">
        <v>492</v>
      </c>
      <c r="B59" s="163" t="s">
        <v>493</v>
      </c>
      <c r="C59" s="163" t="s">
        <v>115</v>
      </c>
      <c r="D59" s="164">
        <v>120</v>
      </c>
      <c r="E59" s="164">
        <v>80</v>
      </c>
      <c r="F59" s="164">
        <v>80</v>
      </c>
      <c r="G59" s="164">
        <v>105</v>
      </c>
      <c r="H59" s="164">
        <v>105</v>
      </c>
      <c r="I59" s="165">
        <v>92</v>
      </c>
      <c r="J59" s="166">
        <f>=SUM(D59:I59)</f>
        <v>582</v>
      </c>
      <c r="K59" s="167">
        <f>=J59-MIN(E59,F59)</f>
        <v>502</v>
      </c>
      <c r="L59" s="128">
        <f>=(2.04*D59+246.4)*(1.1*(G59+H59)+186)</f>
        <v>204830.4</v>
      </c>
      <c r="M59" s="114">
        <v>76</v>
      </c>
      <c r="N59" s="168" t="s">
        <v>56</v>
      </c>
      <c r="O59" s="186" t="s">
        <v>494</v>
      </c>
      <c r="P59" s="187" t="s"/>
      <c r="Q59" s="187" t="s"/>
      <c r="R59" s="187" t="s"/>
      <c r="S59" s="163" t="s">
        <v>495</v>
      </c>
      <c r="T59" s="175" t="s"/>
      <c r="U59" s="175" t="s"/>
      <c r="V59" s="175" t="s"/>
      <c r="W59" s="175" t="s"/>
    </row>
    <row r="60" spans="1:40" s="257" customFormat="1" ht="13.55" customHeight="1">
      <c r="A60" s="54" t="s">
        <v>251</v>
      </c>
      <c r="B60" s="54" t="s">
        <v>252</v>
      </c>
      <c r="C60" s="54" t="s">
        <v>253</v>
      </c>
      <c r="D60" s="55">
        <v>112</v>
      </c>
      <c r="E60" s="55">
        <v>98</v>
      </c>
      <c r="F60" s="55">
        <v>98</v>
      </c>
      <c r="G60" s="55">
        <v>146</v>
      </c>
      <c r="H60" s="55">
        <v>110</v>
      </c>
      <c r="I60" s="56">
        <v>70</v>
      </c>
      <c r="J60" s="57">
        <f>=SUM(D60:I60)</f>
        <v>634</v>
      </c>
      <c r="K60" s="58">
        <f>=J60-MIN(E60,F60)</f>
        <v>536</v>
      </c>
      <c r="L60" s="59">
        <f>=(2.04*D60+246.4)*(1.1*(G60+H60)+186)</f>
        <v>222053.888</v>
      </c>
      <c r="M60" s="58">
        <v>77</v>
      </c>
      <c r="N60" s="66" t="s">
        <v>56</v>
      </c>
      <c r="O60" s="54" t="s">
        <v>254</v>
      </c>
      <c r="P60" s="124" t="s"/>
      <c r="Q60" s="124" t="s"/>
      <c r="R60" s="124" t="s"/>
      <c r="S60" s="54" t="s">
        <v>255</v>
      </c>
      <c r="T60" s="108" t="s"/>
      <c r="U60" s="108" t="s"/>
      <c r="V60" s="108" t="s"/>
      <c r="W60" s="108" t="s"/>
      <c r="AA60" s="238" t="s"/>
      <c r="AB60" s="238" t="s"/>
      <c r="AC60" s="238" t="s"/>
      <c r="AD60" s="238" t="s"/>
      <c r="AE60" s="238" t="s"/>
      <c r="AF60" s="238" t="s"/>
      <c r="AG60" s="238" t="s"/>
      <c r="AH60" s="238" t="s"/>
      <c r="AI60" s="238" t="s"/>
      <c r="AJ60" s="238" t="s"/>
      <c r="AK60" s="238" t="s"/>
      <c r="AL60" s="238" t="s"/>
      <c r="AM60" s="238" t="s"/>
      <c r="AN60" s="238" t="s"/>
    </row>
    <row r="61" spans="1:40" s="257" customFormat="1" ht="13.55" customHeight="1">
      <c r="A61" s="54" t="s">
        <v>187</v>
      </c>
      <c r="B61" s="54" t="s">
        <v>188</v>
      </c>
      <c r="C61" s="54" t="s">
        <v>189</v>
      </c>
      <c r="D61" s="55">
        <v>116</v>
      </c>
      <c r="E61" s="55">
        <v>68</v>
      </c>
      <c r="F61" s="55">
        <v>127</v>
      </c>
      <c r="G61" s="55">
        <v>71</v>
      </c>
      <c r="H61" s="55">
        <v>126</v>
      </c>
      <c r="I61" s="56">
        <v>110</v>
      </c>
      <c r="J61" s="57">
        <f>=SUM(D61:I61)</f>
        <v>618</v>
      </c>
      <c r="K61" s="58">
        <f>=J61-MIN(E61,F61)</f>
        <v>550</v>
      </c>
      <c r="L61" s="59">
        <f>=(2.04*D61+246.4)*(1.1*(G61+H61)+186)</f>
        <v>194520.208</v>
      </c>
      <c r="M61" s="58">
        <v>79</v>
      </c>
      <c r="N61" s="66" t="s">
        <v>56</v>
      </c>
      <c r="O61" s="54" t="s">
        <v>190</v>
      </c>
      <c r="P61" s="124" t="s"/>
      <c r="Q61" s="124" t="s"/>
      <c r="R61" s="124" t="s"/>
      <c r="S61" s="54" t="s">
        <v>191</v>
      </c>
      <c r="T61" s="108" t="s"/>
      <c r="U61" s="108" t="s"/>
      <c r="V61" s="108" t="s"/>
      <c r="W61" s="108" t="s"/>
      <c r="AA61" s="238" t="s"/>
      <c r="AB61" s="238" t="s"/>
      <c r="AC61" s="238" t="s"/>
      <c r="AD61" s="238" t="s"/>
      <c r="AE61" s="238" t="s"/>
      <c r="AF61" s="238" t="s"/>
      <c r="AG61" s="238" t="s"/>
      <c r="AH61" s="238" t="s"/>
      <c r="AI61" s="238" t="s"/>
      <c r="AJ61" s="238" t="s"/>
      <c r="AK61" s="238" t="s"/>
      <c r="AL61" s="238" t="s"/>
      <c r="AM61" s="238" t="s"/>
      <c r="AN61" s="238" t="s"/>
    </row>
    <row r="62" spans="1:40" s="257" customFormat="1" ht="13.55" customHeight="1">
      <c r="A62" s="54" t="s">
        <v>641</v>
      </c>
      <c r="B62" s="54" t="s">
        <v>642</v>
      </c>
      <c r="C62" s="54" t="s">
        <v>360</v>
      </c>
      <c r="D62" s="55">
        <v>79</v>
      </c>
      <c r="E62" s="55">
        <v>85</v>
      </c>
      <c r="F62" s="55">
        <v>95</v>
      </c>
      <c r="G62" s="55">
        <v>103</v>
      </c>
      <c r="H62" s="55">
        <v>90</v>
      </c>
      <c r="I62" s="56">
        <v>105</v>
      </c>
      <c r="J62" s="57">
        <f>=SUM(D62:I62)</f>
        <v>557</v>
      </c>
      <c r="K62" s="58">
        <f>=J62-MIN(E62,F62)</f>
        <v>472</v>
      </c>
      <c r="L62" s="59">
        <f>=(2.04*D62+246.4)*(1.1*(G62+H62)+186)</f>
        <v>162331.148</v>
      </c>
      <c r="M62" s="114">
        <v>80</v>
      </c>
      <c r="N62" s="60" t="s">
        <v>56</v>
      </c>
      <c r="O62" s="54" t="s">
        <v>643</v>
      </c>
      <c r="P62" s="124" t="s"/>
      <c r="Q62" s="124" t="s"/>
      <c r="R62" s="124" t="s"/>
      <c r="S62" s="54" t="s">
        <v>644</v>
      </c>
      <c r="T62" s="108" t="s"/>
      <c r="U62" s="108" t="s"/>
      <c r="V62" s="108" t="s"/>
      <c r="W62" s="108" t="s"/>
      <c r="AA62" s="238" t="s"/>
      <c r="AB62" s="238" t="s"/>
      <c r="AC62" s="238" t="s"/>
      <c r="AD62" s="238" t="s"/>
      <c r="AE62" s="238" t="s"/>
      <c r="AF62" s="238" t="s"/>
      <c r="AG62" s="238" t="s"/>
      <c r="AH62" s="238" t="s"/>
      <c r="AI62" s="238" t="s"/>
      <c r="AJ62" s="238" t="s"/>
      <c r="AK62" s="238" t="s"/>
      <c r="AL62" s="238" t="s"/>
      <c r="AM62" s="238" t="s"/>
      <c r="AN62" s="238" t="s"/>
    </row>
    <row r="63" spans="1:40" s="257" customFormat="1" ht="13.55" customHeight="1">
      <c r="A63" s="54" t="s">
        <v>454</v>
      </c>
      <c r="B63" s="54" t="s">
        <v>455</v>
      </c>
      <c r="C63" s="54" t="s">
        <v>456</v>
      </c>
      <c r="D63" s="55">
        <v>97</v>
      </c>
      <c r="E63" s="55">
        <v>109</v>
      </c>
      <c r="F63" s="55">
        <v>105</v>
      </c>
      <c r="G63" s="55">
        <v>105</v>
      </c>
      <c r="H63" s="55">
        <v>70</v>
      </c>
      <c r="I63" s="56">
        <v>130</v>
      </c>
      <c r="J63" s="57">
        <f>=SUM(D63:I63)</f>
        <v>616</v>
      </c>
      <c r="K63" s="58">
        <f>=J63-MIN(E63,F63)</f>
        <v>511</v>
      </c>
      <c r="L63" s="59">
        <f>=(2.04*D63+246.4)*(1.1*(G63+H63)+186)</f>
        <v>168159.98</v>
      </c>
      <c r="M63" s="58">
        <v>81</v>
      </c>
      <c r="N63" s="66" t="s">
        <v>56</v>
      </c>
      <c r="O63" s="54" t="s">
        <v>457</v>
      </c>
      <c r="P63" s="124" t="s"/>
      <c r="Q63" s="124" t="s"/>
      <c r="R63" s="124" t="s"/>
      <c r="S63" s="54" t="s">
        <v>458</v>
      </c>
      <c r="T63" s="61" t="s"/>
      <c r="U63" s="61" t="s"/>
      <c r="V63" s="61" t="s"/>
      <c r="W63" s="61" t="s"/>
      <c r="AA63" s="238" t="s"/>
      <c r="AB63" s="238" t="s"/>
      <c r="AC63" s="238" t="s"/>
      <c r="AD63" s="238" t="s"/>
      <c r="AE63" s="238" t="s"/>
      <c r="AF63" s="238" t="s"/>
      <c r="AG63" s="238" t="s"/>
      <c r="AH63" s="238" t="s"/>
      <c r="AI63" s="238" t="s"/>
      <c r="AJ63" s="238" t="s"/>
      <c r="AK63" s="238" t="s"/>
      <c r="AL63" s="238" t="s"/>
      <c r="AM63" s="238" t="s"/>
      <c r="AN63" s="238" t="s"/>
    </row>
    <row r="64" spans="1:23" ht="13.55" customHeight="1">
      <c r="A64" s="163" t="s">
        <v>44</v>
      </c>
      <c r="B64" s="163" t="s">
        <v>45</v>
      </c>
      <c r="C64" s="163" t="s">
        <v>46</v>
      </c>
      <c r="D64" s="164">
        <v>120</v>
      </c>
      <c r="E64" s="164">
        <v>135</v>
      </c>
      <c r="F64" s="164">
        <v>49</v>
      </c>
      <c r="G64" s="164">
        <v>159</v>
      </c>
      <c r="H64" s="164">
        <v>150</v>
      </c>
      <c r="I64" s="165">
        <v>70</v>
      </c>
      <c r="J64" s="166">
        <f>=SUM(D64:I64)</f>
        <v>683</v>
      </c>
      <c r="K64" s="167">
        <f>=J64-MIN(E64,F64)</f>
        <v>634</v>
      </c>
      <c r="L64" s="128">
        <f>=(2.04*D64+246.4)*(1.1*(G64+H64)+186)</f>
        <v>258322.08</v>
      </c>
      <c r="M64" s="58">
        <v>82</v>
      </c>
      <c r="N64" s="173" t="s">
        <v>19</v>
      </c>
      <c r="O64" s="163" t="s">
        <v>47</v>
      </c>
      <c r="P64" s="169" t="s"/>
      <c r="Q64" s="169" t="s"/>
      <c r="R64" s="169" t="s"/>
      <c r="S64" s="163" t="s">
        <v>48</v>
      </c>
      <c r="T64" s="178" t="s"/>
      <c r="U64" s="178" t="s"/>
      <c r="V64" s="178" t="s"/>
      <c r="W64" s="170" t="s"/>
    </row>
    <row r="65" spans="1:40" s="257" customFormat="1" ht="13.55" customHeight="1">
      <c r="A65" s="54" t="s">
        <v>301</v>
      </c>
      <c r="B65" s="54" t="s">
        <v>302</v>
      </c>
      <c r="C65" s="54" t="s">
        <v>303</v>
      </c>
      <c r="D65" s="55">
        <v>85</v>
      </c>
      <c r="E65" s="55">
        <v>115</v>
      </c>
      <c r="F65" s="55">
        <v>115</v>
      </c>
      <c r="G65" s="55">
        <v>104</v>
      </c>
      <c r="H65" s="55">
        <v>112</v>
      </c>
      <c r="I65" s="56">
        <v>115</v>
      </c>
      <c r="J65" s="57">
        <f>=SUM(D65:I65)</f>
        <v>646</v>
      </c>
      <c r="K65" s="58">
        <f>=J65-MIN(E65,F65)</f>
        <v>531</v>
      </c>
      <c r="L65" s="59">
        <f>=(2.04*D65+246.4)*(1.1*(G65+H65)+186)</f>
        <v>177827.28</v>
      </c>
      <c r="M65" s="114">
        <v>83</v>
      </c>
      <c r="N65" s="60" t="s">
        <v>56</v>
      </c>
      <c r="O65" s="54" t="s">
        <v>304</v>
      </c>
      <c r="P65" s="118" t="s"/>
      <c r="Q65" s="118" t="s"/>
      <c r="R65" s="118" t="s"/>
      <c r="S65" s="54" t="s">
        <v>305</v>
      </c>
      <c r="T65" s="108" t="s"/>
      <c r="U65" s="108" t="s"/>
      <c r="V65" s="108" t="s"/>
      <c r="W65" s="108" t="s"/>
      <c r="AA65" s="238" t="s"/>
      <c r="AB65" s="238" t="s"/>
      <c r="AC65" s="238" t="s"/>
      <c r="AD65" s="238" t="s"/>
      <c r="AE65" s="238" t="s"/>
      <c r="AF65" s="238" t="s"/>
      <c r="AG65" s="238" t="s"/>
      <c r="AH65" s="238" t="s"/>
      <c r="AI65" s="238" t="s"/>
      <c r="AJ65" s="238" t="s"/>
      <c r="AK65" s="238" t="s"/>
      <c r="AL65" s="238" t="s"/>
      <c r="AM65" s="238" t="s"/>
      <c r="AN65" s="238" t="s"/>
    </row>
    <row r="66" spans="1:40" s="258" customFormat="1" ht="13.55" customHeight="1">
      <c r="A66" s="239" t="s">
        <v>496</v>
      </c>
      <c r="B66" s="239" t="s">
        <v>497</v>
      </c>
      <c r="C66" s="239" t="s">
        <v>498</v>
      </c>
      <c r="D66" s="240">
        <v>90</v>
      </c>
      <c r="E66" s="240">
        <v>77</v>
      </c>
      <c r="F66" s="240">
        <v>77</v>
      </c>
      <c r="G66" s="240">
        <v>105</v>
      </c>
      <c r="H66" s="240">
        <v>105</v>
      </c>
      <c r="I66" s="241">
        <v>125</v>
      </c>
      <c r="J66" s="242">
        <f>=SUM(D66:I66)</f>
        <v>579</v>
      </c>
      <c r="K66" s="243">
        <f>=J66-MIN(E66,F66)</f>
        <v>502</v>
      </c>
      <c r="L66" s="244">
        <f>=(2.04*D66+246.4)*(1.1*(G66+H66)+186)</f>
        <v>179310</v>
      </c>
      <c r="M66" s="243">
        <v>86</v>
      </c>
      <c r="N66" s="245" t="s">
        <v>56</v>
      </c>
      <c r="O66" s="239" t="s">
        <v>499</v>
      </c>
      <c r="P66" s="246" t="s"/>
      <c r="Q66" s="246" t="s"/>
      <c r="R66" s="246" t="s"/>
      <c r="S66" s="239" t="s">
        <v>500</v>
      </c>
      <c r="T66" s="247" t="s"/>
      <c r="U66" s="247" t="s"/>
      <c r="V66" s="247" t="s"/>
      <c r="W66" s="247" t="s"/>
      <c r="AA66" s="250" t="s"/>
      <c r="AB66" s="250" t="s"/>
      <c r="AC66" s="250" t="s"/>
      <c r="AD66" s="250" t="s"/>
      <c r="AE66" s="250" t="s"/>
      <c r="AF66" s="250" t="s"/>
      <c r="AG66" s="250" t="s"/>
      <c r="AH66" s="250" t="s"/>
      <c r="AI66" s="250" t="s"/>
      <c r="AJ66" s="250" t="s"/>
      <c r="AK66" s="250" t="s"/>
      <c r="AL66" s="250" t="s"/>
      <c r="AM66" s="250" t="s"/>
      <c r="AN66" s="250" t="s"/>
    </row>
    <row r="67" spans="1:40" s="258" customFormat="1" ht="13.55" customHeight="1">
      <c r="A67" s="239" t="s">
        <v>219</v>
      </c>
      <c r="B67" s="239" t="s">
        <v>220</v>
      </c>
      <c r="C67" s="239" t="s">
        <v>221</v>
      </c>
      <c r="D67" s="240">
        <v>134</v>
      </c>
      <c r="E67" s="240">
        <v>37</v>
      </c>
      <c r="F67" s="240">
        <v>85</v>
      </c>
      <c r="G67" s="240">
        <v>93</v>
      </c>
      <c r="H67" s="240">
        <v>136</v>
      </c>
      <c r="I67" s="241">
        <v>95</v>
      </c>
      <c r="J67" s="242">
        <f>=SUM(D67:I67)</f>
        <v>580</v>
      </c>
      <c r="K67" s="243">
        <f>=J67-MIN(E67,F67)</f>
        <v>543</v>
      </c>
      <c r="L67" s="244">
        <f>=(2.04*D67+246.4)*(1.1*(G67+H67)+186)</f>
        <v>227602.904</v>
      </c>
      <c r="M67" s="243">
        <v>87</v>
      </c>
      <c r="N67" s="245" t="s">
        <v>56</v>
      </c>
      <c r="O67" s="239" t="s">
        <v>222</v>
      </c>
      <c r="P67" s="246" t="s"/>
      <c r="Q67" s="246" t="s"/>
      <c r="R67" s="246" t="s"/>
      <c r="S67" s="239" t="s">
        <v>223</v>
      </c>
      <c r="T67" s="247" t="s"/>
      <c r="U67" s="247" t="s"/>
      <c r="V67" s="247" t="s"/>
      <c r="W67" s="247" t="s"/>
      <c r="AA67" s="250" t="s"/>
      <c r="AB67" s="250" t="s"/>
      <c r="AC67" s="250" t="s"/>
      <c r="AD67" s="250" t="s"/>
      <c r="AE67" s="250" t="s"/>
      <c r="AF67" s="250" t="s"/>
      <c r="AG67" s="250" t="s"/>
      <c r="AH67" s="250" t="s"/>
      <c r="AI67" s="250" t="s"/>
      <c r="AJ67" s="250" t="s"/>
      <c r="AK67" s="250" t="s"/>
      <c r="AL67" s="250" t="s"/>
      <c r="AM67" s="250" t="s"/>
      <c r="AN67" s="250" t="s"/>
    </row>
    <row r="68" spans="1:40" s="258" customFormat="1" ht="13.55" customHeight="1">
      <c r="A68" s="239" t="s">
        <v>24</v>
      </c>
      <c r="B68" s="239" t="s">
        <v>25</v>
      </c>
      <c r="C68" s="239" t="s">
        <v>26</v>
      </c>
      <c r="D68" s="240">
        <v>290</v>
      </c>
      <c r="E68" s="240">
        <v>91</v>
      </c>
      <c r="F68" s="240">
        <v>91</v>
      </c>
      <c r="G68" s="240">
        <v>138</v>
      </c>
      <c r="H68" s="240">
        <v>113</v>
      </c>
      <c r="I68" s="241">
        <v>65</v>
      </c>
      <c r="J68" s="242">
        <f>=SUM(D68:I68)</f>
        <v>788</v>
      </c>
      <c r="K68" s="243">
        <f>=J68-MIN(E68,F68)</f>
        <v>697</v>
      </c>
      <c r="L68" s="244">
        <f>=((2.04*D68+246.4)*(1.1*(G68+H68)+186))/2</f>
        <v>193619.9</v>
      </c>
      <c r="M68" s="251">
        <v>88</v>
      </c>
      <c r="N68" s="252" t="s">
        <v>19</v>
      </c>
      <c r="O68" s="239" t="s">
        <v>27</v>
      </c>
      <c r="P68" s="246" t="s"/>
      <c r="Q68" s="246" t="s"/>
      <c r="R68" s="246" t="s"/>
      <c r="S68" s="239" t="s">
        <v>28</v>
      </c>
      <c r="T68" s="247" t="s"/>
      <c r="U68" s="247" t="s"/>
      <c r="V68" s="247" t="s"/>
      <c r="W68" s="247" t="s"/>
      <c r="AA68" s="250" t="s"/>
      <c r="AB68" s="250" t="s"/>
      <c r="AC68" s="250" t="s"/>
      <c r="AD68" s="250" t="s"/>
      <c r="AE68" s="250" t="s"/>
      <c r="AF68" s="250" t="s"/>
      <c r="AG68" s="250" t="s"/>
      <c r="AH68" s="250" t="s"/>
      <c r="AI68" s="250" t="s"/>
      <c r="AJ68" s="250" t="s"/>
      <c r="AK68" s="250" t="s"/>
      <c r="AL68" s="250" t="s"/>
      <c r="AM68" s="250" t="s"/>
      <c r="AN68" s="250" t="s"/>
    </row>
    <row r="69" spans="1:40" s="258" customFormat="1" ht="13.55" customHeight="1">
      <c r="A69" s="239" t="s">
        <v>614</v>
      </c>
      <c r="B69" s="239" t="s">
        <v>615</v>
      </c>
      <c r="C69" s="239" t="s">
        <v>355</v>
      </c>
      <c r="D69" s="240">
        <v>111</v>
      </c>
      <c r="E69" s="240">
        <v>96</v>
      </c>
      <c r="F69" s="240">
        <v>96</v>
      </c>
      <c r="G69" s="240">
        <v>65</v>
      </c>
      <c r="H69" s="240">
        <v>123</v>
      </c>
      <c r="I69" s="241">
        <v>80</v>
      </c>
      <c r="J69" s="242">
        <f>=SUM(D69:I69)</f>
        <v>571</v>
      </c>
      <c r="K69" s="243">
        <f>=J69-MIN(E69,F69)</f>
        <v>475</v>
      </c>
      <c r="L69" s="244">
        <f>=(2.04*D69+246.4)*(1.1*(G69+H69)+186)</f>
        <v>185731.552</v>
      </c>
      <c r="M69" s="243">
        <v>90</v>
      </c>
      <c r="N69" s="245" t="s">
        <v>56</v>
      </c>
      <c r="O69" s="239" t="s">
        <v>616</v>
      </c>
      <c r="P69" s="246" t="s"/>
      <c r="Q69" s="246" t="s"/>
      <c r="R69" s="246" t="s"/>
      <c r="S69" s="239" t="s">
        <v>617</v>
      </c>
      <c r="T69" s="247" t="s"/>
      <c r="U69" s="247" t="s"/>
      <c r="V69" s="247" t="s"/>
      <c r="W69" s="247" t="s"/>
      <c r="AA69" s="250" t="s"/>
      <c r="AB69" s="250" t="s"/>
      <c r="AC69" s="250" t="s"/>
      <c r="AD69" s="250" t="s"/>
      <c r="AE69" s="250" t="s"/>
      <c r="AF69" s="250" t="s"/>
      <c r="AG69" s="250" t="s"/>
      <c r="AH69" s="250" t="s"/>
      <c r="AI69" s="250" t="s"/>
      <c r="AJ69" s="250" t="s"/>
      <c r="AK69" s="250" t="s"/>
      <c r="AL69" s="250" t="s"/>
      <c r="AM69" s="250" t="s"/>
      <c r="AN69" s="250" t="s"/>
    </row>
    <row r="70" spans="1:40" s="258" customFormat="1" ht="13.55" customHeight="1">
      <c r="A70" s="239" t="s">
        <v>610</v>
      </c>
      <c r="B70" s="239" t="s">
        <v>611</v>
      </c>
      <c r="C70" s="239" t="s">
        <v>427</v>
      </c>
      <c r="D70" s="240">
        <v>106</v>
      </c>
      <c r="E70" s="240">
        <v>81</v>
      </c>
      <c r="F70" s="240">
        <v>81</v>
      </c>
      <c r="G70" s="240">
        <v>85</v>
      </c>
      <c r="H70" s="240">
        <v>84</v>
      </c>
      <c r="I70" s="241">
        <v>120</v>
      </c>
      <c r="J70" s="242">
        <f>=SUM(D70:I70)</f>
        <v>557</v>
      </c>
      <c r="K70" s="243">
        <f>=J70-MIN(E70,F70)</f>
        <v>476</v>
      </c>
      <c r="L70" s="244">
        <f>=(2.04*D70+246.4)*(1.1*(G70+H70)+186)</f>
        <v>172055.816</v>
      </c>
      <c r="M70" s="243">
        <v>91</v>
      </c>
      <c r="N70" s="245" t="s">
        <v>56</v>
      </c>
      <c r="O70" s="239" t="s">
        <v>612</v>
      </c>
      <c r="P70" s="246" t="s"/>
      <c r="Q70" s="246" t="s"/>
      <c r="R70" s="246" t="s"/>
      <c r="S70" s="239" t="s">
        <v>613</v>
      </c>
      <c r="T70" s="247" t="s"/>
      <c r="U70" s="247" t="s"/>
      <c r="V70" s="247" t="s"/>
      <c r="W70" s="247" t="s"/>
      <c r="AA70" s="250" t="s"/>
      <c r="AB70" s="250" t="s"/>
      <c r="AC70" s="250" t="s"/>
      <c r="AD70" s="250" t="s"/>
      <c r="AE70" s="250" t="s"/>
      <c r="AF70" s="250" t="s"/>
      <c r="AG70" s="250" t="s"/>
      <c r="AH70" s="250" t="s"/>
      <c r="AI70" s="250" t="s"/>
      <c r="AJ70" s="250" t="s"/>
      <c r="AK70" s="250" t="s"/>
      <c r="AL70" s="250" t="s"/>
      <c r="AM70" s="250" t="s"/>
      <c r="AN70" s="250" t="s"/>
    </row>
    <row r="71" spans="1:40" s="258" customFormat="1" ht="13.55" customHeight="1">
      <c r="A71" s="239" t="s">
        <v>463</v>
      </c>
      <c r="B71" s="239" t="s">
        <v>464</v>
      </c>
      <c r="C71" s="239" t="s">
        <v>130</v>
      </c>
      <c r="D71" s="240">
        <v>114</v>
      </c>
      <c r="E71" s="240">
        <v>106</v>
      </c>
      <c r="F71" s="240">
        <v>44</v>
      </c>
      <c r="G71" s="240">
        <v>101</v>
      </c>
      <c r="H71" s="240">
        <v>69</v>
      </c>
      <c r="I71" s="241">
        <v>120</v>
      </c>
      <c r="J71" s="242">
        <f>=SUM(D71:I71)</f>
        <v>554</v>
      </c>
      <c r="K71" s="243">
        <f>=J71-MIN(E71,F71)</f>
        <v>510</v>
      </c>
      <c r="L71" s="244">
        <f>=(2.04*D71+246.4)*(1.1*(G71+H71)+186)</f>
        <v>178652.08</v>
      </c>
      <c r="M71" s="251">
        <v>92</v>
      </c>
      <c r="N71" s="252" t="s">
        <v>56</v>
      </c>
      <c r="O71" s="239" t="s">
        <v>465</v>
      </c>
      <c r="P71" s="246" t="s"/>
      <c r="Q71" s="246" t="s"/>
      <c r="R71" s="246" t="s"/>
      <c r="S71" s="239" t="s">
        <v>466</v>
      </c>
      <c r="T71" s="247" t="s"/>
      <c r="U71" s="247" t="s"/>
      <c r="V71" s="247" t="s"/>
      <c r="W71" s="247" t="s"/>
      <c r="AA71" s="250" t="s"/>
      <c r="AB71" s="250" t="s"/>
      <c r="AC71" s="250" t="s"/>
      <c r="AD71" s="250" t="s"/>
      <c r="AE71" s="250" t="s"/>
      <c r="AF71" s="250" t="s"/>
      <c r="AG71" s="250" t="s"/>
      <c r="AH71" s="250" t="s"/>
      <c r="AI71" s="250" t="s"/>
      <c r="AJ71" s="250" t="s"/>
      <c r="AK71" s="250" t="s"/>
      <c r="AL71" s="250" t="s"/>
      <c r="AM71" s="250" t="s"/>
      <c r="AN71" s="250" t="s"/>
    </row>
    <row r="72" spans="1:40" s="258" customFormat="1" ht="13.55" customHeight="1">
      <c r="A72" s="239" t="s">
        <v>783</v>
      </c>
      <c r="B72" s="239" t="s">
        <v>784</v>
      </c>
      <c r="C72" s="239" t="s">
        <v>572</v>
      </c>
      <c r="D72" s="240">
        <v>81</v>
      </c>
      <c r="E72" s="240">
        <v>78</v>
      </c>
      <c r="F72" s="240">
        <v>78</v>
      </c>
      <c r="G72" s="240">
        <v>76</v>
      </c>
      <c r="H72" s="240">
        <v>96</v>
      </c>
      <c r="I72" s="241">
        <v>100</v>
      </c>
      <c r="J72" s="242">
        <f>=SUM(D72:I72)</f>
        <v>509</v>
      </c>
      <c r="K72" s="243">
        <f>=J72-MIN(E72,F72)</f>
        <v>431</v>
      </c>
      <c r="L72" s="244">
        <f>=(2.04*D72+246.4)*(1.1*(G72+H72)+186)</f>
        <v>154447.328</v>
      </c>
      <c r="M72" s="243">
        <v>93</v>
      </c>
      <c r="N72" s="245" t="s">
        <v>56</v>
      </c>
      <c r="O72" s="239" t="s">
        <v>785</v>
      </c>
      <c r="P72" s="249" t="s"/>
      <c r="Q72" s="249" t="s"/>
      <c r="R72" s="249" t="s"/>
      <c r="S72" s="239" t="s">
        <v>786</v>
      </c>
      <c r="T72" s="247" t="s"/>
      <c r="U72" s="247" t="s"/>
      <c r="V72" s="247" t="s"/>
      <c r="W72" s="247" t="s"/>
      <c r="AA72" s="250" t="s"/>
      <c r="AB72" s="250" t="s"/>
      <c r="AC72" s="250" t="s"/>
      <c r="AD72" s="250" t="s"/>
      <c r="AE72" s="250" t="s"/>
      <c r="AF72" s="250" t="s"/>
      <c r="AG72" s="250" t="s"/>
      <c r="AH72" s="250" t="s"/>
      <c r="AI72" s="250" t="s"/>
      <c r="AJ72" s="250" t="s"/>
      <c r="AK72" s="250" t="s"/>
      <c r="AL72" s="250" t="s"/>
      <c r="AM72" s="250" t="s"/>
      <c r="AN72" s="250" t="s"/>
    </row>
    <row r="73" spans="1:40" s="258" customFormat="1" ht="13.55" customHeight="1">
      <c r="A73" s="239" t="s">
        <v>274</v>
      </c>
      <c r="B73" s="239" t="s">
        <v>275</v>
      </c>
      <c r="C73" s="239" t="s">
        <v>276</v>
      </c>
      <c r="D73" s="240">
        <v>86</v>
      </c>
      <c r="E73" s="240">
        <v>100</v>
      </c>
      <c r="F73" s="240">
        <v>107</v>
      </c>
      <c r="G73" s="240">
        <v>113</v>
      </c>
      <c r="H73" s="240">
        <v>132</v>
      </c>
      <c r="I73" s="241">
        <v>95</v>
      </c>
      <c r="J73" s="242">
        <f>=SUM(D73:I73)</f>
        <v>633</v>
      </c>
      <c r="K73" s="243">
        <f>=J73-MIN(E73,F73)</f>
        <v>533</v>
      </c>
      <c r="L73" s="244">
        <f>=(2.04*D73+246.4)*(1.1*(G73+H73)+186)</f>
        <v>192148.12</v>
      </c>
      <c r="M73" s="251">
        <v>94</v>
      </c>
      <c r="N73" s="252" t="s">
        <v>56</v>
      </c>
      <c r="O73" s="239" t="s">
        <v>277</v>
      </c>
      <c r="P73" s="246" t="s"/>
      <c r="Q73" s="246" t="s"/>
      <c r="R73" s="246" t="s"/>
      <c r="S73" s="239" t="s">
        <v>278</v>
      </c>
      <c r="T73" s="247" t="s"/>
      <c r="U73" s="247" t="s"/>
      <c r="V73" s="247" t="s"/>
      <c r="W73" s="247" t="s"/>
      <c r="AA73" s="250" t="s"/>
      <c r="AB73" s="250" t="s"/>
      <c r="AC73" s="250" t="s"/>
      <c r="AD73" s="250" t="s"/>
      <c r="AE73" s="250" t="s"/>
      <c r="AF73" s="250" t="s"/>
      <c r="AG73" s="250" t="s"/>
      <c r="AH73" s="250" t="s"/>
      <c r="AI73" s="250" t="s"/>
      <c r="AJ73" s="250" t="s"/>
      <c r="AK73" s="250" t="s"/>
      <c r="AL73" s="250" t="s"/>
      <c r="AM73" s="250" t="s"/>
      <c r="AN73" s="250" t="s"/>
    </row>
    <row r="74" spans="1:40" s="258" customFormat="1" ht="13.55" customHeight="1">
      <c r="A74" s="239" t="s">
        <v>339</v>
      </c>
      <c r="B74" s="239" t="s">
        <v>340</v>
      </c>
      <c r="C74" s="239" t="s">
        <v>341</v>
      </c>
      <c r="D74" s="240">
        <v>105</v>
      </c>
      <c r="E74" s="240">
        <v>110</v>
      </c>
      <c r="F74" s="240">
        <v>104</v>
      </c>
      <c r="G74" s="240">
        <v>103</v>
      </c>
      <c r="H74" s="240">
        <v>103</v>
      </c>
      <c r="I74" s="241">
        <v>105</v>
      </c>
      <c r="J74" s="242">
        <f>=SUM(D74:I74)</f>
        <v>630</v>
      </c>
      <c r="K74" s="243">
        <f>=J74-MIN(E74,F74)</f>
        <v>526</v>
      </c>
      <c r="L74" s="244">
        <f>=(2.04*D74+246.4)*(1.1*(G74+H74)+186)</f>
        <v>190043.56</v>
      </c>
      <c r="M74" s="243">
        <v>97</v>
      </c>
      <c r="N74" s="245" t="s">
        <v>56</v>
      </c>
      <c r="O74" s="239" t="s">
        <v>342</v>
      </c>
      <c r="P74" s="246" t="s"/>
      <c r="Q74" s="246" t="s"/>
      <c r="R74" s="246" t="s"/>
      <c r="S74" s="239" t="s">
        <v>343</v>
      </c>
      <c r="T74" s="247" t="s"/>
      <c r="U74" s="247" t="s"/>
      <c r="V74" s="247" t="s"/>
      <c r="W74" s="247" t="s"/>
      <c r="AA74" s="250" t="s"/>
      <c r="AB74" s="250" t="s"/>
      <c r="AC74" s="250" t="s"/>
      <c r="AD74" s="250" t="s"/>
      <c r="AE74" s="250" t="s"/>
      <c r="AF74" s="250" t="s"/>
      <c r="AG74" s="250" t="s"/>
      <c r="AH74" s="250" t="s"/>
      <c r="AI74" s="250" t="s"/>
      <c r="AJ74" s="250" t="s"/>
      <c r="AK74" s="250" t="s"/>
      <c r="AL74" s="250" t="s"/>
      <c r="AM74" s="250" t="s"/>
      <c r="AN74" s="250" t="s"/>
    </row>
    <row r="75" spans="1:19" ht="13.55" customHeight="1">
      <c r="A75" s="154" t="s">
        <v>34</v>
      </c>
      <c r="B75" s="154" t="s">
        <v>35</v>
      </c>
      <c r="C75" s="154" t="s">
        <v>36</v>
      </c>
      <c r="D75" s="155">
        <v>167</v>
      </c>
      <c r="E75" s="155">
        <v>162</v>
      </c>
      <c r="F75" s="155">
        <v>72</v>
      </c>
      <c r="G75" s="155">
        <v>143</v>
      </c>
      <c r="H75" s="155">
        <v>111</v>
      </c>
      <c r="I75" s="156">
        <v>60</v>
      </c>
      <c r="J75" s="157">
        <f>=SUM(D75:I75)</f>
        <v>715</v>
      </c>
      <c r="K75" s="158">
        <f>=J75-MIN(E75,F75)</f>
        <v>643</v>
      </c>
      <c r="L75" s="129">
        <f>=(2.04*D75+246.4)*(1.1*(G75+H75)+186)</f>
        <v>273227.032</v>
      </c>
      <c r="M75" s="15">
        <v>98</v>
      </c>
      <c r="N75" s="159" t="s">
        <v>19</v>
      </c>
      <c r="O75" s="154" t="s">
        <v>37</v>
      </c>
      <c r="P75" s="160" t="s"/>
      <c r="Q75" s="160" t="s"/>
      <c r="R75" s="160" t="s"/>
      <c r="S75" s="154" t="s">
        <v>38</v>
      </c>
    </row>
    <row r="76" spans="1:40" s="258" customFormat="1" ht="13.55" customHeight="1">
      <c r="A76" s="239" t="s">
        <v>583</v>
      </c>
      <c r="B76" s="239" t="s">
        <v>584</v>
      </c>
      <c r="C76" s="239" t="s">
        <v>585</v>
      </c>
      <c r="D76" s="240">
        <v>83</v>
      </c>
      <c r="E76" s="240">
        <v>114</v>
      </c>
      <c r="F76" s="240">
        <v>31</v>
      </c>
      <c r="G76" s="240">
        <v>91</v>
      </c>
      <c r="H76" s="240">
        <v>79</v>
      </c>
      <c r="I76" s="241">
        <v>115</v>
      </c>
      <c r="J76" s="242">
        <f>=SUM(D76:I76)</f>
        <v>513</v>
      </c>
      <c r="K76" s="243">
        <f>=J76-MIN(E76,F76)</f>
        <v>482</v>
      </c>
      <c r="L76" s="244">
        <f>=(2.04*D76+246.4)*(1.1*(G76+H76)+186)</f>
        <v>155063.56</v>
      </c>
      <c r="M76" s="251">
        <v>100</v>
      </c>
      <c r="N76" s="252" t="s">
        <v>56</v>
      </c>
      <c r="O76" s="239" t="s">
        <v>586</v>
      </c>
      <c r="P76" s="249" t="s"/>
      <c r="Q76" s="249" t="s"/>
      <c r="R76" s="249" t="s"/>
      <c r="S76" s="239" t="s">
        <v>587</v>
      </c>
      <c r="T76" s="247" t="s"/>
      <c r="U76" s="247" t="s"/>
      <c r="V76" s="247" t="s"/>
      <c r="W76" s="247" t="s"/>
      <c r="AA76" s="250" t="s"/>
      <c r="AB76" s="250" t="s"/>
      <c r="AC76" s="250" t="s"/>
      <c r="AD76" s="250" t="s"/>
      <c r="AE76" s="250" t="s"/>
      <c r="AF76" s="250" t="s"/>
      <c r="AG76" s="250" t="s"/>
      <c r="AH76" s="250" t="s"/>
      <c r="AI76" s="250" t="s"/>
      <c r="AJ76" s="250" t="s"/>
      <c r="AK76" s="250" t="s"/>
      <c r="AL76" s="250" t="s"/>
      <c r="AM76" s="250" t="s"/>
      <c r="AN76" s="250" t="s"/>
    </row>
    <row r="77" spans="1:40" s="258" customFormat="1" ht="13.55" customHeight="1">
      <c r="A77" s="239" t="s">
        <v>579</v>
      </c>
      <c r="B77" s="239" t="s">
        <v>580</v>
      </c>
      <c r="C77" s="239" t="s">
        <v>427</v>
      </c>
      <c r="D77" s="240">
        <v>83</v>
      </c>
      <c r="E77" s="240">
        <v>100</v>
      </c>
      <c r="F77" s="240">
        <v>100</v>
      </c>
      <c r="G77" s="240">
        <v>78</v>
      </c>
      <c r="H77" s="240">
        <v>97</v>
      </c>
      <c r="I77" s="241">
        <v>125</v>
      </c>
      <c r="J77" s="242">
        <f>=SUM(D77:I77)</f>
        <v>583</v>
      </c>
      <c r="K77" s="243">
        <f>=J77-MIN(E77,F77)</f>
        <v>483</v>
      </c>
      <c r="L77" s="244">
        <f>=(2.04*D77+246.4)*(1.1*(G77+H77)+186)</f>
        <v>157350.02</v>
      </c>
      <c r="M77" s="243">
        <v>101</v>
      </c>
      <c r="N77" s="245" t="s">
        <v>56</v>
      </c>
      <c r="O77" s="239" t="s">
        <v>581</v>
      </c>
      <c r="P77" s="246" t="s"/>
      <c r="Q77" s="246" t="s"/>
      <c r="R77" s="246" t="s"/>
      <c r="S77" s="239" t="s">
        <v>582</v>
      </c>
      <c r="T77" s="247" t="s"/>
      <c r="U77" s="247" t="s"/>
      <c r="V77" s="247" t="s"/>
      <c r="W77" s="247" t="s"/>
      <c r="AA77" s="250" t="s"/>
      <c r="AB77" s="250" t="s"/>
      <c r="AC77" s="250" t="s"/>
      <c r="AD77" s="250" t="s"/>
      <c r="AE77" s="250" t="s"/>
      <c r="AF77" s="250" t="s"/>
      <c r="AG77" s="250" t="s"/>
      <c r="AH77" s="250" t="s"/>
      <c r="AI77" s="250" t="s"/>
      <c r="AJ77" s="250" t="s"/>
      <c r="AK77" s="250" t="s"/>
      <c r="AL77" s="250" t="s"/>
      <c r="AM77" s="250" t="s"/>
      <c r="AN77" s="250" t="s"/>
    </row>
    <row r="78" spans="1:40" s="258" customFormat="1" ht="13.55" customHeight="1">
      <c r="A78" s="239" t="s">
        <v>306</v>
      </c>
      <c r="B78" s="239" t="s">
        <v>307</v>
      </c>
      <c r="C78" s="239" t="s">
        <v>308</v>
      </c>
      <c r="D78" s="240">
        <v>106</v>
      </c>
      <c r="E78" s="240">
        <v>122</v>
      </c>
      <c r="F78" s="240">
        <v>43</v>
      </c>
      <c r="G78" s="240">
        <v>136</v>
      </c>
      <c r="H78" s="240">
        <v>116</v>
      </c>
      <c r="I78" s="241">
        <v>50</v>
      </c>
      <c r="J78" s="242">
        <f>=SUM(D78:I78)</f>
        <v>573</v>
      </c>
      <c r="K78" s="243">
        <f>=J78-MIN(E78,F78)</f>
        <v>530</v>
      </c>
      <c r="L78" s="244">
        <f>=(2.04*D78+246.4)*(1.1*(G78+H78)+186)</f>
        <v>214294.848</v>
      </c>
      <c r="M78" s="243">
        <v>103</v>
      </c>
      <c r="N78" s="245" t="s">
        <v>56</v>
      </c>
      <c r="O78" s="239" t="s">
        <v>309</v>
      </c>
      <c r="P78" s="246" t="s"/>
      <c r="Q78" s="246" t="s"/>
      <c r="R78" s="246" t="s"/>
      <c r="S78" s="239" t="s">
        <v>310</v>
      </c>
      <c r="T78" s="247" t="s"/>
      <c r="U78" s="247" t="s"/>
      <c r="V78" s="247" t="s"/>
      <c r="W78" s="247" t="s"/>
      <c r="AA78" s="248" t="s"/>
      <c r="AB78" s="248" t="s"/>
      <c r="AC78" s="248" t="s"/>
      <c r="AD78" s="248" t="s"/>
      <c r="AE78" s="248" t="s"/>
      <c r="AF78" s="248" t="s"/>
      <c r="AG78" s="248" t="s"/>
      <c r="AH78" s="248" t="s"/>
      <c r="AI78" s="248" t="s"/>
      <c r="AJ78" s="248" t="s"/>
      <c r="AK78" s="248" t="s"/>
      <c r="AL78" s="248" t="s"/>
      <c r="AM78" s="248" t="s"/>
      <c r="AN78" s="248" t="s"/>
    </row>
    <row r="79" spans="1:19" ht="13.55" hidden="1" customHeight="1">
      <c r="A79" s="38" t="s">
        <v>368</v>
      </c>
      <c r="B79" s="38" t="s">
        <v>369</v>
      </c>
      <c r="C79" s="38" t="s">
        <v>31</v>
      </c>
      <c r="D79" s="39">
        <v>111</v>
      </c>
      <c r="E79" s="39">
        <v>103</v>
      </c>
      <c r="F79" s="39">
        <v>103</v>
      </c>
      <c r="G79" s="39">
        <v>122</v>
      </c>
      <c r="H79" s="39">
        <v>122</v>
      </c>
      <c r="I79" s="39">
        <v>64</v>
      </c>
      <c r="J79" s="40">
        <f>=SUM(D79:I79)</f>
        <v>625</v>
      </c>
      <c r="K79" s="17">
        <f>=J79-MIN(E79,F79)</f>
        <v>522</v>
      </c>
      <c r="L79" s="41">
        <f>=(2.04*D79+246.4)*(1.1*(G79+H79)+186)</f>
        <v>214858.496</v>
      </c>
      <c r="M79" s="42" t="s"/>
      <c r="N79" s="42" t="s">
        <v>61</v>
      </c>
      <c r="O79" s="38" t="s">
        <v>32</v>
      </c>
      <c r="P79" s="121" t="s"/>
      <c r="Q79" s="121" t="s"/>
      <c r="R79" s="121" t="s"/>
      <c r="S79" s="38" t="s">
        <v>370</v>
      </c>
    </row>
    <row r="80" spans="1:40" s="256" customFormat="1" ht="13.55" customHeight="1">
      <c r="A80" s="154" t="s">
        <v>701</v>
      </c>
      <c r="B80" s="154" t="s">
        <v>702</v>
      </c>
      <c r="C80" s="154" t="s">
        <v>530</v>
      </c>
      <c r="D80" s="155">
        <v>89</v>
      </c>
      <c r="E80" s="155">
        <v>94</v>
      </c>
      <c r="F80" s="155">
        <v>38</v>
      </c>
      <c r="G80" s="155">
        <v>116</v>
      </c>
      <c r="H80" s="155">
        <v>77</v>
      </c>
      <c r="I80" s="156">
        <v>75</v>
      </c>
      <c r="J80" s="157">
        <f>=SUM(D80:I80)</f>
        <v>489</v>
      </c>
      <c r="K80" s="158">
        <f>=J80-MIN(E80,F80)</f>
        <v>451</v>
      </c>
      <c r="L80" s="129">
        <f>=(2.04*D80+246.4)*(1.1*(G80+H80)+186)</f>
        <v>170456.468</v>
      </c>
      <c r="M80" s="15">
        <v>104</v>
      </c>
      <c r="N80" s="159" t="s">
        <v>56</v>
      </c>
      <c r="O80" s="154" t="s">
        <v>703</v>
      </c>
      <c r="P80" s="160" t="s"/>
      <c r="Q80" s="160" t="s"/>
      <c r="R80" s="160" t="s"/>
      <c r="S80" s="154" t="s">
        <v>704</v>
      </c>
      <c r="AA80" s="176" t="s"/>
      <c r="AB80" s="176" t="s"/>
      <c r="AC80" s="176" t="s"/>
      <c r="AD80" s="176" t="s"/>
      <c r="AE80" s="176" t="s"/>
      <c r="AF80" s="176" t="s"/>
      <c r="AG80" s="176" t="s"/>
      <c r="AH80" s="176" t="s"/>
      <c r="AI80" s="176" t="s"/>
      <c r="AJ80" s="176" t="s"/>
      <c r="AK80" s="176" t="s"/>
      <c r="AL80" s="176" t="s"/>
      <c r="AM80" s="176" t="s"/>
      <c r="AN80" s="176" t="s"/>
    </row>
    <row r="81" spans="1:40" s="257" customFormat="1" ht="13.55" customHeight="1">
      <c r="A81" s="154" t="s">
        <v>510</v>
      </c>
      <c r="B81" s="154" t="s">
        <v>511</v>
      </c>
      <c r="C81" s="154" t="s">
        <v>65</v>
      </c>
      <c r="D81" s="155">
        <v>102</v>
      </c>
      <c r="E81" s="155">
        <v>116</v>
      </c>
      <c r="F81" s="155">
        <v>64</v>
      </c>
      <c r="G81" s="155">
        <v>107</v>
      </c>
      <c r="H81" s="155">
        <v>55</v>
      </c>
      <c r="I81" s="156">
        <v>120</v>
      </c>
      <c r="J81" s="157">
        <f>=SUM(D81:I81)</f>
        <v>564</v>
      </c>
      <c r="K81" s="158">
        <f>=J81-MIN(E81,F81)</f>
        <v>500</v>
      </c>
      <c r="L81" s="129">
        <f>=(2.04*D81+246.4)*(1.1*(G81+H81)+186)</f>
        <v>165521.616</v>
      </c>
      <c r="M81" s="15">
        <v>105</v>
      </c>
      <c r="N81" s="159" t="s">
        <v>56</v>
      </c>
      <c r="O81" s="154" t="s">
        <v>512</v>
      </c>
      <c r="P81" s="160" t="s"/>
      <c r="Q81" s="160" t="s"/>
      <c r="R81" s="160" t="s"/>
      <c r="S81" s="154" t="s">
        <v>513</v>
      </c>
      <c r="T81" s="178" t="s"/>
      <c r="U81" s="178" t="s"/>
      <c r="V81" s="178" t="s"/>
      <c r="W81" s="178" t="s"/>
      <c r="AA81" s="174" t="s"/>
      <c r="AB81" s="174" t="s"/>
      <c r="AC81" s="174" t="s"/>
      <c r="AD81" s="174" t="s"/>
      <c r="AE81" s="174" t="s"/>
      <c r="AF81" s="174" t="s"/>
      <c r="AG81" s="174" t="s"/>
      <c r="AH81" s="174" t="s"/>
      <c r="AI81" s="174" t="s"/>
      <c r="AJ81" s="174" t="s"/>
      <c r="AK81" s="174" t="s"/>
      <c r="AL81" s="174" t="s"/>
      <c r="AM81" s="174" t="s"/>
      <c r="AN81" s="174" t="s"/>
    </row>
    <row r="82" spans="1:40" s="258" customFormat="1" ht="13.55" customHeight="1">
      <c r="A82" s="239" t="s">
        <v>728</v>
      </c>
      <c r="B82" s="239" t="s">
        <v>729</v>
      </c>
      <c r="C82" s="239" t="s">
        <v>730</v>
      </c>
      <c r="D82" s="240">
        <v>92</v>
      </c>
      <c r="E82" s="240">
        <v>61</v>
      </c>
      <c r="F82" s="240">
        <v>61</v>
      </c>
      <c r="G82" s="240">
        <v>91</v>
      </c>
      <c r="H82" s="240">
        <v>91</v>
      </c>
      <c r="I82" s="241">
        <v>110</v>
      </c>
      <c r="J82" s="242">
        <f>=SUM(D82:I82)</f>
        <v>506</v>
      </c>
      <c r="K82" s="243">
        <f>=J82-MIN(E82,F82)</f>
        <v>445</v>
      </c>
      <c r="L82" s="244">
        <f>=(2.04*D82+246.4)*(1.1*(G82+H82)+186)</f>
        <v>167641.696</v>
      </c>
      <c r="M82" s="251">
        <v>106</v>
      </c>
      <c r="N82" s="252" t="s">
        <v>56</v>
      </c>
      <c r="O82" s="239" t="s">
        <v>731</v>
      </c>
      <c r="P82" s="246" t="s"/>
      <c r="Q82" s="246" t="s"/>
      <c r="R82" s="246" t="s"/>
      <c r="S82" s="239" t="s">
        <v>732</v>
      </c>
      <c r="T82" s="247" t="s"/>
      <c r="U82" s="247" t="s"/>
      <c r="V82" s="247" t="s"/>
      <c r="W82" s="247" t="s"/>
      <c r="AA82" s="250" t="s"/>
      <c r="AB82" s="250" t="s"/>
      <c r="AC82" s="250" t="s"/>
      <c r="AD82" s="250" t="s"/>
      <c r="AE82" s="250" t="s"/>
      <c r="AF82" s="250" t="s"/>
      <c r="AG82" s="250" t="s"/>
      <c r="AH82" s="250" t="s"/>
      <c r="AI82" s="250" t="s"/>
      <c r="AJ82" s="250" t="s"/>
      <c r="AK82" s="250" t="s"/>
      <c r="AL82" s="250" t="s"/>
      <c r="AM82" s="250" t="s"/>
      <c r="AN82" s="250" t="s"/>
    </row>
    <row r="83" spans="1:19" ht="13.55" customHeight="1">
      <c r="A83" s="154" t="s">
        <v>688</v>
      </c>
      <c r="B83" s="154" t="s">
        <v>689</v>
      </c>
      <c r="C83" s="154" t="s">
        <v>144</v>
      </c>
      <c r="D83" s="155">
        <v>117</v>
      </c>
      <c r="E83" s="155">
        <v>10</v>
      </c>
      <c r="F83" s="155">
        <v>61</v>
      </c>
      <c r="G83" s="155">
        <v>90</v>
      </c>
      <c r="H83" s="155">
        <v>106</v>
      </c>
      <c r="I83" s="156">
        <v>80</v>
      </c>
      <c r="J83" s="157">
        <f>=SUM(D83:I83)</f>
        <v>464</v>
      </c>
      <c r="K83" s="158">
        <f>=J83-MIN(E83,F83)</f>
        <v>454</v>
      </c>
      <c r="L83" s="129">
        <f>=(2.04*D83+246.4)*(1.1*(G83+H83)+186)</f>
        <v>194808.128</v>
      </c>
      <c r="M83" s="15">
        <v>107</v>
      </c>
      <c r="N83" s="159" t="s">
        <v>56</v>
      </c>
      <c r="O83" s="154" t="s">
        <v>690</v>
      </c>
      <c r="P83" s="160" t="s"/>
      <c r="Q83" s="160" t="s"/>
      <c r="R83" s="160" t="s"/>
      <c r="S83" s="154" t="s">
        <v>691</v>
      </c>
    </row>
    <row r="84" spans="1:40" s="254" customFormat="1" ht="13.55" customHeight="1">
      <c r="A84" s="154" t="s">
        <v>246</v>
      </c>
      <c r="B84" s="154" t="s">
        <v>247</v>
      </c>
      <c r="C84" s="154" t="s">
        <v>248</v>
      </c>
      <c r="D84" s="155">
        <v>137</v>
      </c>
      <c r="E84" s="155">
        <v>36</v>
      </c>
      <c r="F84" s="155">
        <v>102</v>
      </c>
      <c r="G84" s="155">
        <v>89</v>
      </c>
      <c r="H84" s="155">
        <v>104</v>
      </c>
      <c r="I84" s="156">
        <v>105</v>
      </c>
      <c r="J84" s="157">
        <f>=SUM(D84:I84)</f>
        <v>573</v>
      </c>
      <c r="K84" s="158">
        <f>=J84-MIN(E84,F84)</f>
        <v>537</v>
      </c>
      <c r="L84" s="129">
        <f>=(2.04*D84+246.4)*(1.1*(G84+H84)+186)</f>
        <v>209458.004</v>
      </c>
      <c r="M84" s="15">
        <v>108</v>
      </c>
      <c r="N84" s="159" t="s">
        <v>56</v>
      </c>
      <c r="O84" s="154" t="s">
        <v>249</v>
      </c>
      <c r="P84" s="160" t="s"/>
      <c r="Q84" s="160" t="s"/>
      <c r="R84" s="160" t="s"/>
      <c r="S84" s="154" t="s">
        <v>250</v>
      </c>
      <c r="T84" s="177" t="s"/>
      <c r="U84" s="177" t="s"/>
      <c r="V84" s="177" t="s"/>
      <c r="W84" s="177" t="s"/>
      <c r="AA84" s="171" t="s"/>
      <c r="AB84" s="171" t="s"/>
      <c r="AC84" s="171" t="s"/>
      <c r="AD84" s="171" t="s"/>
      <c r="AE84" s="171" t="s"/>
      <c r="AF84" s="171" t="s"/>
      <c r="AG84" s="171" t="s"/>
      <c r="AH84" s="171" t="s"/>
      <c r="AI84" s="171" t="s"/>
      <c r="AJ84" s="171" t="s"/>
      <c r="AK84" s="171" t="s"/>
      <c r="AL84" s="171" t="s"/>
      <c r="AM84" s="171" t="s"/>
      <c r="AN84" s="171" t="s"/>
    </row>
    <row r="85" spans="1:40" s="258" customFormat="1" ht="13.55" customHeight="1">
      <c r="A85" s="239" t="s">
        <v>353</v>
      </c>
      <c r="B85" s="239" t="s">
        <v>354</v>
      </c>
      <c r="C85" s="239" t="s">
        <v>355</v>
      </c>
      <c r="D85" s="240">
        <v>111</v>
      </c>
      <c r="E85" s="240">
        <v>98</v>
      </c>
      <c r="F85" s="240">
        <v>98</v>
      </c>
      <c r="G85" s="240">
        <v>103</v>
      </c>
      <c r="H85" s="240">
        <v>136</v>
      </c>
      <c r="I85" s="241">
        <v>75</v>
      </c>
      <c r="J85" s="242">
        <f>=SUM(D85:I85)</f>
        <v>621</v>
      </c>
      <c r="K85" s="243">
        <f>=J85-MIN(E85,F85)</f>
        <v>523</v>
      </c>
      <c r="L85" s="244">
        <f>=(2.04*D85+246.4)*(1.1*(G85+H85)+186)</f>
        <v>212257.876</v>
      </c>
      <c r="M85" s="251">
        <v>109</v>
      </c>
      <c r="N85" s="252" t="s">
        <v>56</v>
      </c>
      <c r="O85" s="239" t="s">
        <v>356</v>
      </c>
      <c r="P85" s="246" t="s"/>
      <c r="Q85" s="246" t="s"/>
      <c r="R85" s="246" t="s"/>
      <c r="S85" s="239" t="s">
        <v>357</v>
      </c>
      <c r="T85" s="247" t="s"/>
      <c r="U85" s="247" t="s"/>
      <c r="V85" s="247" t="s"/>
      <c r="W85" s="247" t="s"/>
      <c r="AA85" s="248" t="s"/>
      <c r="AB85" s="248" t="s"/>
      <c r="AC85" s="248" t="s"/>
      <c r="AD85" s="248" t="s"/>
      <c r="AE85" s="248" t="s"/>
      <c r="AF85" s="248" t="s"/>
      <c r="AG85" s="248" t="s"/>
      <c r="AH85" s="248" t="s"/>
      <c r="AI85" s="248" t="s"/>
      <c r="AJ85" s="248" t="s"/>
      <c r="AK85" s="248" t="s"/>
      <c r="AL85" s="248" t="s"/>
      <c r="AM85" s="248" t="s"/>
      <c r="AN85" s="248" t="s"/>
    </row>
    <row r="86" spans="1:40" s="254" customFormat="1" ht="13.55" customHeight="1">
      <c r="A86" s="154" t="s">
        <v>324</v>
      </c>
      <c r="B86" s="154" t="s">
        <v>325</v>
      </c>
      <c r="C86" s="154" t="s">
        <v>326</v>
      </c>
      <c r="D86" s="155">
        <v>133</v>
      </c>
      <c r="E86" s="155">
        <v>34</v>
      </c>
      <c r="F86" s="155">
        <v>89</v>
      </c>
      <c r="G86" s="155">
        <v>81</v>
      </c>
      <c r="H86" s="155">
        <v>105</v>
      </c>
      <c r="I86" s="156">
        <v>120</v>
      </c>
      <c r="J86" s="157">
        <f>=SUM(D86:I86)</f>
        <v>562</v>
      </c>
      <c r="K86" s="158">
        <f>=J86-MIN(E86,F86)</f>
        <v>528</v>
      </c>
      <c r="L86" s="129">
        <f>=(2.04*D86+246.4)*(1.1*(G86+H86)+186)</f>
        <v>202221.432</v>
      </c>
      <c r="M86" s="15">
        <v>111</v>
      </c>
      <c r="N86" s="159" t="s">
        <v>56</v>
      </c>
      <c r="O86" s="154" t="s">
        <v>327</v>
      </c>
      <c r="P86" s="160" t="s"/>
      <c r="Q86" s="160" t="s"/>
      <c r="R86" s="160" t="s"/>
      <c r="S86" s="154" t="s">
        <v>328</v>
      </c>
      <c r="AA86" s="171" t="s"/>
      <c r="AB86" s="171" t="s"/>
      <c r="AC86" s="171" t="s"/>
      <c r="AD86" s="171" t="s"/>
      <c r="AE86" s="171" t="s"/>
      <c r="AF86" s="171" t="s"/>
      <c r="AG86" s="171" t="s"/>
      <c r="AH86" s="171" t="s"/>
      <c r="AI86" s="171" t="s"/>
      <c r="AJ86" s="171" t="s"/>
      <c r="AK86" s="171" t="s"/>
      <c r="AL86" s="171" t="s"/>
      <c r="AM86" s="171" t="s"/>
      <c r="AN86" s="171" t="s"/>
    </row>
    <row r="87" spans="1:40" s="258" customFormat="1" ht="13.55" customHeight="1">
      <c r="A87" s="239" t="s">
        <v>1102</v>
      </c>
      <c r="B87" s="239" t="s">
        <v>1103</v>
      </c>
      <c r="C87" s="239" t="s">
        <v>1104</v>
      </c>
      <c r="D87" s="240">
        <v>145</v>
      </c>
      <c r="E87" s="240">
        <v>54</v>
      </c>
      <c r="F87" s="240">
        <v>49</v>
      </c>
      <c r="G87" s="240">
        <v>45</v>
      </c>
      <c r="H87" s="240">
        <v>45</v>
      </c>
      <c r="I87" s="241">
        <v>44</v>
      </c>
      <c r="J87" s="242">
        <f>=SUM(D87:I87)</f>
        <v>382</v>
      </c>
      <c r="K87" s="243">
        <f>=J87-MIN(E87,F87)</f>
        <v>333</v>
      </c>
      <c r="L87" s="244">
        <f>=(2.04*D87+246.4)*(1.1*(G87+H87)+186)</f>
        <v>154527</v>
      </c>
      <c r="M87" s="243">
        <v>112</v>
      </c>
      <c r="N87" s="245" t="s">
        <v>56</v>
      </c>
      <c r="O87" s="239" t="s">
        <v>1105</v>
      </c>
      <c r="P87" s="246" t="s"/>
      <c r="Q87" s="246" t="s"/>
      <c r="R87" s="246" t="s"/>
      <c r="S87" s="239" t="s">
        <v>1106</v>
      </c>
      <c r="T87" s="247" t="s"/>
      <c r="U87" s="247" t="s"/>
      <c r="V87" s="247" t="s"/>
      <c r="W87" s="247" t="s"/>
      <c r="AA87" s="248" t="s"/>
      <c r="AB87" s="248" t="s"/>
      <c r="AC87" s="248" t="s"/>
      <c r="AD87" s="248" t="s"/>
      <c r="AE87" s="248" t="s"/>
      <c r="AF87" s="248" t="s"/>
      <c r="AG87" s="248" t="s"/>
      <c r="AH87" s="248" t="s"/>
      <c r="AI87" s="248" t="s"/>
      <c r="AJ87" s="248" t="s"/>
      <c r="AK87" s="248" t="s"/>
      <c r="AL87" s="248" t="s"/>
      <c r="AM87" s="248" t="s"/>
      <c r="AN87" s="248" t="s"/>
    </row>
    <row r="88" spans="1:40" s="254" customFormat="1" ht="13.55" customHeight="1">
      <c r="A88" s="154" t="s">
        <v>297</v>
      </c>
      <c r="B88" s="154" t="s">
        <v>298</v>
      </c>
      <c r="C88" s="154" t="s">
        <v>41</v>
      </c>
      <c r="D88" s="155">
        <v>94</v>
      </c>
      <c r="E88" s="155">
        <v>112</v>
      </c>
      <c r="F88" s="155">
        <v>112</v>
      </c>
      <c r="G88" s="155">
        <v>105</v>
      </c>
      <c r="H88" s="155">
        <v>105</v>
      </c>
      <c r="I88" s="156">
        <v>115</v>
      </c>
      <c r="J88" s="157">
        <f>=SUM(D88:I88)</f>
        <v>643</v>
      </c>
      <c r="K88" s="158">
        <f>=J88-MIN(E88,F88)</f>
        <v>531</v>
      </c>
      <c r="L88" s="129">
        <f>=(2.04*D88+246.4)*(1.1*(G88+H88)+186)</f>
        <v>182712.72</v>
      </c>
      <c r="M88" s="220">
        <v>113</v>
      </c>
      <c r="N88" s="172" t="s">
        <v>56</v>
      </c>
      <c r="O88" s="154" t="s">
        <v>299</v>
      </c>
      <c r="P88" s="160" t="s"/>
      <c r="Q88" s="160" t="s"/>
      <c r="R88" s="160" t="s"/>
      <c r="S88" s="154" t="s">
        <v>300</v>
      </c>
      <c r="AA88" s="171" t="s"/>
      <c r="AB88" s="171" t="s"/>
      <c r="AC88" s="171" t="s"/>
      <c r="AD88" s="171" t="s"/>
      <c r="AE88" s="171" t="s"/>
      <c r="AF88" s="171" t="s"/>
      <c r="AG88" s="171" t="s"/>
      <c r="AH88" s="171" t="s"/>
      <c r="AI88" s="171" t="s"/>
      <c r="AJ88" s="171" t="s"/>
      <c r="AK88" s="171" t="s"/>
      <c r="AL88" s="171" t="s"/>
      <c r="AM88" s="171" t="s"/>
      <c r="AN88" s="171" t="s"/>
    </row>
    <row r="89" spans="1:40" s="257" customFormat="1" ht="13.55" customHeight="1">
      <c r="A89" s="154" t="s">
        <v>618</v>
      </c>
      <c r="B89" s="154" t="s">
        <v>619</v>
      </c>
      <c r="C89" s="154" t="s">
        <v>70</v>
      </c>
      <c r="D89" s="155">
        <v>116</v>
      </c>
      <c r="E89" s="155">
        <v>98</v>
      </c>
      <c r="F89" s="155">
        <v>29</v>
      </c>
      <c r="G89" s="155">
        <v>83</v>
      </c>
      <c r="H89" s="155">
        <v>63</v>
      </c>
      <c r="I89" s="156">
        <v>115</v>
      </c>
      <c r="J89" s="157">
        <f>=SUM(D89:I89)</f>
        <v>504</v>
      </c>
      <c r="K89" s="158">
        <f>=J89-MIN(E89,F89)</f>
        <v>475</v>
      </c>
      <c r="L89" s="129">
        <f>=(2.04*D89+246.4)*(1.1*(G89+H89)+186)</f>
        <v>167421.664</v>
      </c>
      <c r="M89" s="15">
        <v>114</v>
      </c>
      <c r="N89" s="159" t="s">
        <v>56</v>
      </c>
      <c r="O89" s="154" t="s">
        <v>620</v>
      </c>
      <c r="P89" s="160" t="s"/>
      <c r="Q89" s="160" t="s"/>
      <c r="R89" s="160" t="s"/>
      <c r="S89" s="154" t="s">
        <v>621</v>
      </c>
      <c r="AA89" s="174" t="s"/>
      <c r="AB89" s="174" t="s"/>
      <c r="AC89" s="174" t="s"/>
      <c r="AD89" s="174" t="s"/>
      <c r="AE89" s="174" t="s"/>
      <c r="AF89" s="174" t="s"/>
      <c r="AG89" s="174" t="s"/>
      <c r="AH89" s="174" t="s"/>
      <c r="AI89" s="174" t="s"/>
      <c r="AJ89" s="174" t="s"/>
      <c r="AK89" s="174" t="s"/>
      <c r="AL89" s="174" t="s"/>
      <c r="AM89" s="174" t="s"/>
      <c r="AN89" s="174" t="s"/>
    </row>
    <row r="90" spans="1:40" s="254" customFormat="1" ht="13.55" customHeight="1">
      <c r="A90" s="154" t="s">
        <v>479</v>
      </c>
      <c r="B90" s="154" t="s">
        <v>480</v>
      </c>
      <c r="C90" s="154" t="s">
        <v>65</v>
      </c>
      <c r="D90" s="155">
        <v>89</v>
      </c>
      <c r="E90" s="155">
        <v>112</v>
      </c>
      <c r="F90" s="155">
        <v>112</v>
      </c>
      <c r="G90" s="155">
        <v>89</v>
      </c>
      <c r="H90" s="155">
        <v>100</v>
      </c>
      <c r="I90" s="156">
        <v>115</v>
      </c>
      <c r="J90" s="157">
        <f>=SUM(D90:I90)</f>
        <v>617</v>
      </c>
      <c r="K90" s="158">
        <f>=J90-MIN(E90,F90)</f>
        <v>505</v>
      </c>
      <c r="L90" s="129">
        <f>=(2.04*D90+246.4)*(1.1*(G90+H90)+186)</f>
        <v>168573.444</v>
      </c>
      <c r="M90" s="15">
        <v>115</v>
      </c>
      <c r="N90" s="159" t="s">
        <v>56</v>
      </c>
      <c r="O90" s="154" t="s">
        <v>481</v>
      </c>
      <c r="P90" s="160" t="s"/>
      <c r="Q90" s="160" t="s"/>
      <c r="R90" s="160" t="s"/>
      <c r="S90" s="154" t="s">
        <v>482</v>
      </c>
      <c r="AA90" s="171" t="s"/>
      <c r="AB90" s="171" t="s"/>
      <c r="AC90" s="171" t="s"/>
      <c r="AD90" s="171" t="s"/>
      <c r="AE90" s="171" t="s"/>
      <c r="AF90" s="171" t="s"/>
      <c r="AG90" s="171" t="s"/>
      <c r="AH90" s="171" t="s"/>
      <c r="AI90" s="171" t="s"/>
      <c r="AJ90" s="171" t="s"/>
      <c r="AK90" s="171" t="s"/>
      <c r="AL90" s="171" t="s"/>
      <c r="AM90" s="171" t="s"/>
      <c r="AN90" s="171" t="s"/>
    </row>
    <row r="91" spans="1:23" ht="13.55" customHeight="1">
      <c r="A91" s="154" t="s">
        <v>241</v>
      </c>
      <c r="B91" s="154" t="s">
        <v>242</v>
      </c>
      <c r="C91" s="154" t="s">
        <v>243</v>
      </c>
      <c r="D91" s="155">
        <v>123</v>
      </c>
      <c r="E91" s="155">
        <v>119</v>
      </c>
      <c r="F91" s="155">
        <v>41</v>
      </c>
      <c r="G91" s="155">
        <v>110</v>
      </c>
      <c r="H91" s="155">
        <v>101</v>
      </c>
      <c r="I91" s="156">
        <v>85</v>
      </c>
      <c r="J91" s="157">
        <f>=SUM(D91:I91)</f>
        <v>579</v>
      </c>
      <c r="K91" s="158">
        <f>=J91-MIN(E91,F91)</f>
        <v>538</v>
      </c>
      <c r="L91" s="129">
        <f>=(2.04*D91+246.4)*(1.1*(G91+H91)+186)</f>
        <v>207929.492</v>
      </c>
      <c r="M91" s="220">
        <v>116</v>
      </c>
      <c r="N91" s="172" t="s">
        <v>56</v>
      </c>
      <c r="O91" s="154" t="s">
        <v>244</v>
      </c>
      <c r="P91" s="160" t="s"/>
      <c r="Q91" s="160" t="s"/>
      <c r="R91" s="160" t="s"/>
      <c r="S91" s="154" t="s">
        <v>245</v>
      </c>
      <c r="T91" s="175" t="s"/>
      <c r="U91" s="175" t="s"/>
      <c r="V91" s="175" t="s"/>
      <c r="W91" s="175" t="s"/>
    </row>
    <row r="92" spans="1:19" ht="13.55" hidden="1" customHeight="1">
      <c r="A92" s="38" t="s">
        <v>430</v>
      </c>
      <c r="B92" s="38" t="s">
        <v>431</v>
      </c>
      <c r="C92" s="38" t="s">
        <v>36</v>
      </c>
      <c r="D92" s="39">
        <v>133</v>
      </c>
      <c r="E92" s="39">
        <v>130</v>
      </c>
      <c r="F92" s="39">
        <v>57</v>
      </c>
      <c r="G92" s="39">
        <v>115</v>
      </c>
      <c r="H92" s="39">
        <v>89</v>
      </c>
      <c r="I92" s="39">
        <v>48</v>
      </c>
      <c r="J92" s="40">
        <f>=SUM(D92:I92)</f>
        <v>572</v>
      </c>
      <c r="K92" s="17">
        <f>=J92-MIN(E92,F92)</f>
        <v>515</v>
      </c>
      <c r="L92" s="41">
        <f>=(2.04*D92+246.4)*(1.1*(G92+H92)+186)</f>
        <v>212472.288</v>
      </c>
      <c r="M92" s="76" t="s"/>
      <c r="N92" s="76" t="s">
        <v>61</v>
      </c>
      <c r="O92" s="38" t="s">
        <v>37</v>
      </c>
      <c r="P92" s="121" t="s"/>
      <c r="Q92" s="121" t="s"/>
      <c r="R92" s="121" t="s"/>
      <c r="S92" s="38" t="s">
        <v>432</v>
      </c>
    </row>
    <row r="93" spans="1:19" ht="13.55" customHeight="1">
      <c r="A93" s="154" t="s">
        <v>293</v>
      </c>
      <c r="B93" s="154" t="s">
        <v>294</v>
      </c>
      <c r="C93" s="154" t="s">
        <v>238</v>
      </c>
      <c r="D93" s="155">
        <v>106</v>
      </c>
      <c r="E93" s="155">
        <v>100</v>
      </c>
      <c r="F93" s="155">
        <v>34</v>
      </c>
      <c r="G93" s="155">
        <v>116</v>
      </c>
      <c r="H93" s="155">
        <v>99</v>
      </c>
      <c r="I93" s="156">
        <v>110</v>
      </c>
      <c r="J93" s="157">
        <f>=SUM(D93:I93)</f>
        <v>565</v>
      </c>
      <c r="K93" s="158">
        <f>=J93-MIN(E93,F93)</f>
        <v>531</v>
      </c>
      <c r="L93" s="129">
        <f>=(2.04*D93+246.4)*(1.1*(G93+H93)+186)</f>
        <v>195465.4</v>
      </c>
      <c r="M93" s="15">
        <v>117</v>
      </c>
      <c r="N93" s="159" t="s">
        <v>56</v>
      </c>
      <c r="O93" s="154" t="s">
        <v>295</v>
      </c>
      <c r="P93" s="160" t="s"/>
      <c r="Q93" s="160" t="s"/>
      <c r="R93" s="160" t="s"/>
      <c r="S93" s="154" t="s">
        <v>296</v>
      </c>
    </row>
    <row r="94" spans="1:40" s="256" customFormat="1" ht="13.55" customHeight="1">
      <c r="A94" s="154" t="s">
        <v>329</v>
      </c>
      <c r="B94" s="154" t="s">
        <v>330</v>
      </c>
      <c r="C94" s="154" t="s">
        <v>331</v>
      </c>
      <c r="D94" s="155">
        <v>124</v>
      </c>
      <c r="E94" s="155">
        <v>112</v>
      </c>
      <c r="F94" s="155">
        <v>41</v>
      </c>
      <c r="G94" s="155">
        <v>109</v>
      </c>
      <c r="H94" s="155">
        <v>88</v>
      </c>
      <c r="I94" s="156">
        <v>95</v>
      </c>
      <c r="J94" s="157">
        <f>=SUM(D94:I94)</f>
        <v>569</v>
      </c>
      <c r="K94" s="158">
        <f>=J94-MIN(E94,F94)</f>
        <v>528</v>
      </c>
      <c r="L94" s="129">
        <f>=(2.04*D94+246.4)*(1.1*(G94+H94)+186)</f>
        <v>201092.272</v>
      </c>
      <c r="M94" s="15">
        <v>119</v>
      </c>
      <c r="N94" s="159" t="s">
        <v>56</v>
      </c>
      <c r="O94" s="154" t="s">
        <v>332</v>
      </c>
      <c r="P94" s="160" t="s"/>
      <c r="Q94" s="160" t="s"/>
      <c r="R94" s="160" t="s"/>
      <c r="S94" s="154" t="s">
        <v>333</v>
      </c>
      <c r="AA94" s="176" t="s"/>
      <c r="AB94" s="176" t="s"/>
      <c r="AC94" s="176" t="s"/>
      <c r="AD94" s="176" t="s"/>
      <c r="AE94" s="176" t="s"/>
      <c r="AF94" s="176" t="s"/>
      <c r="AG94" s="176" t="s"/>
      <c r="AH94" s="176" t="s"/>
      <c r="AI94" s="176" t="s"/>
      <c r="AJ94" s="176" t="s"/>
      <c r="AK94" s="176" t="s"/>
      <c r="AL94" s="176" t="s"/>
      <c r="AM94" s="176" t="s"/>
      <c r="AN94" s="176" t="s"/>
    </row>
    <row r="95" spans="1:19" ht="13.55" hidden="1" customHeight="1">
      <c r="A95" s="38" t="s">
        <v>442</v>
      </c>
      <c r="B95" s="38" t="s">
        <v>443</v>
      </c>
      <c r="C95" s="38" t="s">
        <v>41</v>
      </c>
      <c r="D95" s="39">
        <v>130</v>
      </c>
      <c r="E95" s="39">
        <v>139</v>
      </c>
      <c r="F95" s="39">
        <v>63</v>
      </c>
      <c r="G95" s="39">
        <v>111</v>
      </c>
      <c r="H95" s="39">
        <v>83</v>
      </c>
      <c r="I95" s="39">
        <v>48</v>
      </c>
      <c r="J95" s="40">
        <f>=SUM(D95:I95)</f>
        <v>574</v>
      </c>
      <c r="K95" s="17">
        <f>=J95-MIN(E95,F95)</f>
        <v>511</v>
      </c>
      <c r="L95" s="41">
        <f>=(2.04*D95+246.4)*(1.1*(G95+H95)+186)</f>
        <v>204333.04</v>
      </c>
      <c r="M95" s="42" t="s"/>
      <c r="N95" s="42" t="s">
        <v>61</v>
      </c>
      <c r="O95" s="38" t="s">
        <v>42</v>
      </c>
      <c r="P95" s="121" t="s"/>
      <c r="Q95" s="121" t="s"/>
      <c r="R95" s="121" t="s"/>
      <c r="S95" s="38" t="s">
        <v>444</v>
      </c>
    </row>
    <row r="96" spans="1:19" ht="13.55" customHeight="1">
      <c r="A96" s="154" t="s">
        <v>39</v>
      </c>
      <c r="B96" s="154" t="s">
        <v>40</v>
      </c>
      <c r="C96" s="154" t="s">
        <v>41</v>
      </c>
      <c r="D96" s="155">
        <v>162</v>
      </c>
      <c r="E96" s="155">
        <v>174</v>
      </c>
      <c r="F96" s="155">
        <v>79</v>
      </c>
      <c r="G96" s="155">
        <v>139</v>
      </c>
      <c r="H96" s="155">
        <v>104</v>
      </c>
      <c r="I96" s="156">
        <v>60</v>
      </c>
      <c r="J96" s="157">
        <f>=SUM(D96:I96)</f>
        <v>718</v>
      </c>
      <c r="K96" s="158">
        <f>=J96-MIN(E96,F96)</f>
        <v>639</v>
      </c>
      <c r="L96" s="129">
        <f>=(2.04*D96+246.4)*(1.1*(G96+H96)+186)</f>
        <v>261499.704</v>
      </c>
      <c r="M96" s="15">
        <v>120</v>
      </c>
      <c r="N96" s="159" t="s">
        <v>19</v>
      </c>
      <c r="O96" s="154" t="s">
        <v>42</v>
      </c>
      <c r="P96" s="160" t="s"/>
      <c r="Q96" s="160" t="s"/>
      <c r="R96" s="160" t="s"/>
      <c r="S96" s="154" t="s">
        <v>43</v>
      </c>
    </row>
    <row r="97" spans="1:40" s="258" customFormat="1" ht="13.55" customHeight="1">
      <c r="A97" s="239" t="s">
        <v>437</v>
      </c>
      <c r="B97" s="239" t="s">
        <v>438</v>
      </c>
      <c r="C97" s="239" t="s">
        <v>439</v>
      </c>
      <c r="D97" s="240">
        <v>101</v>
      </c>
      <c r="E97" s="240">
        <v>32</v>
      </c>
      <c r="F97" s="240">
        <v>101</v>
      </c>
      <c r="G97" s="240">
        <v>94</v>
      </c>
      <c r="H97" s="240">
        <v>98</v>
      </c>
      <c r="I97" s="241">
        <v>120</v>
      </c>
      <c r="J97" s="242">
        <f>=SUM(D97:I97)</f>
        <v>546</v>
      </c>
      <c r="K97" s="243">
        <f>=J97-MIN(E97,F97)</f>
        <v>514</v>
      </c>
      <c r="L97" s="244">
        <f>=(2.04*D97+246.4)*(1.1*(G97+H97)+186)</f>
        <v>179709.168</v>
      </c>
      <c r="M97" s="243">
        <v>121</v>
      </c>
      <c r="N97" s="245" t="s">
        <v>56</v>
      </c>
      <c r="O97" s="239" t="s">
        <v>440</v>
      </c>
      <c r="P97" s="246" t="s"/>
      <c r="Q97" s="246" t="s"/>
      <c r="R97" s="246" t="s"/>
      <c r="S97" s="239" t="s">
        <v>441</v>
      </c>
      <c r="T97" s="253" t="s"/>
      <c r="U97" s="253" t="s"/>
      <c r="V97" s="253" t="s"/>
      <c r="W97" s="253" t="s"/>
      <c r="AA97" s="248" t="s"/>
      <c r="AB97" s="248" t="s"/>
      <c r="AC97" s="248" t="s"/>
      <c r="AD97" s="248" t="s"/>
      <c r="AE97" s="248" t="s"/>
      <c r="AF97" s="248" t="s"/>
      <c r="AG97" s="248" t="s"/>
      <c r="AH97" s="248" t="s"/>
      <c r="AI97" s="248" t="s"/>
      <c r="AJ97" s="248" t="s"/>
      <c r="AK97" s="248" t="s"/>
      <c r="AL97" s="248" t="s"/>
      <c r="AM97" s="248" t="s"/>
      <c r="AN97" s="248" t="s"/>
    </row>
    <row r="98" spans="1:40" s="258" customFormat="1" ht="13.55" customHeight="1">
      <c r="A98" s="239" t="s">
        <v>363</v>
      </c>
      <c r="B98" s="239" t="s">
        <v>364</v>
      </c>
      <c r="C98" s="239" t="s">
        <v>365</v>
      </c>
      <c r="D98" s="240">
        <v>107</v>
      </c>
      <c r="E98" s="240">
        <v>159</v>
      </c>
      <c r="F98" s="240">
        <v>78</v>
      </c>
      <c r="G98" s="240">
        <v>112</v>
      </c>
      <c r="H98" s="240">
        <v>70</v>
      </c>
      <c r="I98" s="241">
        <v>75</v>
      </c>
      <c r="J98" s="242">
        <f>=SUM(D98:I98)</f>
        <v>601</v>
      </c>
      <c r="K98" s="243">
        <f>=J98-MIN(E98,F98)</f>
        <v>523</v>
      </c>
      <c r="L98" s="244">
        <f>=(2.04*D98+246.4)*(1.1*(G98+H98)+186)</f>
        <v>179459.416</v>
      </c>
      <c r="M98" s="251">
        <v>123</v>
      </c>
      <c r="N98" s="252" t="s">
        <v>56</v>
      </c>
      <c r="O98" s="239" t="s">
        <v>366</v>
      </c>
      <c r="P98" s="249" t="s"/>
      <c r="Q98" s="249" t="s"/>
      <c r="R98" s="249" t="s"/>
      <c r="S98" s="239" t="s">
        <v>367</v>
      </c>
      <c r="T98" s="253" t="s"/>
      <c r="U98" s="253" t="s"/>
      <c r="V98" s="253" t="s"/>
      <c r="W98" s="253" t="s"/>
      <c r="AA98" s="248" t="s"/>
      <c r="AB98" s="248" t="s"/>
      <c r="AC98" s="248" t="s"/>
      <c r="AD98" s="248" t="s"/>
      <c r="AE98" s="248" t="s"/>
      <c r="AF98" s="248" t="s"/>
      <c r="AG98" s="248" t="s"/>
      <c r="AH98" s="248" t="s"/>
      <c r="AI98" s="248" t="s"/>
      <c r="AJ98" s="248" t="s"/>
      <c r="AK98" s="248" t="s"/>
      <c r="AL98" s="248" t="s"/>
      <c r="AM98" s="248" t="s"/>
      <c r="AN98" s="248" t="s"/>
    </row>
    <row r="99" spans="1:40" s="258" customFormat="1" ht="13.55" customHeight="1">
      <c r="A99" s="239" t="s">
        <v>649</v>
      </c>
      <c r="B99" s="239" t="s">
        <v>650</v>
      </c>
      <c r="C99" s="239" t="s">
        <v>427</v>
      </c>
      <c r="D99" s="240">
        <v>78</v>
      </c>
      <c r="E99" s="240">
        <v>82</v>
      </c>
      <c r="F99" s="240">
        <v>82</v>
      </c>
      <c r="G99" s="240">
        <v>91</v>
      </c>
      <c r="H99" s="240">
        <v>95</v>
      </c>
      <c r="I99" s="241">
        <v>125</v>
      </c>
      <c r="J99" s="242">
        <f>=SUM(D99:I99)</f>
        <v>553</v>
      </c>
      <c r="K99" s="243">
        <f>=J99-MIN(E99,F99)</f>
        <v>471</v>
      </c>
      <c r="L99" s="244">
        <f>=(2.04*D99+246.4)*(1.1*(G99+H99)+186)</f>
        <v>158396.112</v>
      </c>
      <c r="M99" s="243">
        <v>124</v>
      </c>
      <c r="N99" s="245" t="s">
        <v>56</v>
      </c>
      <c r="O99" s="239" t="s">
        <v>651</v>
      </c>
      <c r="P99" s="249" t="s"/>
      <c r="Q99" s="249" t="s"/>
      <c r="R99" s="249" t="s"/>
      <c r="S99" s="239" t="s">
        <v>652</v>
      </c>
      <c r="T99" s="247" t="s"/>
      <c r="U99" s="247" t="s"/>
      <c r="V99" s="247" t="s"/>
      <c r="W99" s="247" t="s"/>
      <c r="AA99" s="250" t="s"/>
      <c r="AB99" s="250" t="s"/>
      <c r="AC99" s="250" t="s"/>
      <c r="AD99" s="250" t="s"/>
      <c r="AE99" s="250" t="s"/>
      <c r="AF99" s="250" t="s"/>
      <c r="AG99" s="250" t="s"/>
      <c r="AH99" s="250" t="s"/>
      <c r="AI99" s="250" t="s"/>
      <c r="AJ99" s="250" t="s"/>
      <c r="AK99" s="250" t="s"/>
      <c r="AL99" s="250" t="s"/>
      <c r="AM99" s="250" t="s"/>
      <c r="AN99" s="250" t="s"/>
    </row>
    <row r="100" spans="1:23" ht="13.55" customHeight="1">
      <c r="A100" s="38" t="s">
        <v>128</v>
      </c>
      <c r="B100" s="38" t="s">
        <v>129</v>
      </c>
      <c r="C100" s="38" t="s">
        <v>130</v>
      </c>
      <c r="D100" s="39">
        <v>100</v>
      </c>
      <c r="E100" s="39">
        <v>79</v>
      </c>
      <c r="F100" s="39">
        <v>148</v>
      </c>
      <c r="G100" s="39">
        <v>73</v>
      </c>
      <c r="H100" s="39">
        <v>127</v>
      </c>
      <c r="I100" s="39">
        <v>115</v>
      </c>
      <c r="J100" s="40">
        <f>=SUM(D100:I100)</f>
        <v>642</v>
      </c>
      <c r="K100" s="159">
        <f>=J100-MIN(E100,F100)</f>
        <v>563</v>
      </c>
      <c r="L100" s="132">
        <f>=(2.04*D100+246.4)*(1.1*(G100+H100)+186)</f>
        <v>182862.4</v>
      </c>
      <c r="M100" s="76">
        <v>125</v>
      </c>
      <c r="N100" s="76" t="s">
        <v>56</v>
      </c>
      <c r="O100" s="38" t="s">
        <v>131</v>
      </c>
      <c r="P100" s="121" t="s"/>
      <c r="Q100" s="121" t="s"/>
      <c r="R100" s="121" t="s"/>
      <c r="S100" s="38" t="s">
        <v>132</v>
      </c>
      <c r="T100" s="177" t="s"/>
      <c r="U100" s="177" t="s"/>
      <c r="V100" s="177" t="s"/>
      <c r="W100" s="177" t="s"/>
    </row>
    <row r="101" spans="1:19" ht="13.55" customHeight="1">
      <c r="A101" s="154" t="s">
        <v>201</v>
      </c>
      <c r="B101" s="154" t="s">
        <v>202</v>
      </c>
      <c r="C101" s="154" t="s">
        <v>125</v>
      </c>
      <c r="D101" s="155">
        <v>112</v>
      </c>
      <c r="E101" s="155">
        <v>46</v>
      </c>
      <c r="F101" s="155">
        <v>120</v>
      </c>
      <c r="G101" s="155">
        <v>107</v>
      </c>
      <c r="H101" s="155">
        <v>134</v>
      </c>
      <c r="I101" s="156">
        <v>75</v>
      </c>
      <c r="J101" s="157">
        <f>=SUM(D101:I101)</f>
        <v>594</v>
      </c>
      <c r="K101" s="158">
        <f>=J101-MIN(E101,F101)</f>
        <v>548</v>
      </c>
      <c r="L101" s="129">
        <f>=(2.04*D101+246.4)*(1.1*(G101+H101)+186)</f>
        <v>214218.368</v>
      </c>
      <c r="M101" s="220">
        <v>126</v>
      </c>
      <c r="N101" s="172" t="s">
        <v>56</v>
      </c>
      <c r="O101" s="154" t="s">
        <v>203</v>
      </c>
      <c r="P101" s="160" t="s"/>
      <c r="Q101" s="160" t="s"/>
      <c r="R101" s="160" t="s"/>
      <c r="S101" s="154" t="s">
        <v>204</v>
      </c>
    </row>
    <row r="102" spans="1:19" ht="13.55" customHeight="1">
      <c r="A102" s="154" t="s">
        <v>283</v>
      </c>
      <c r="B102" s="154" t="s">
        <v>284</v>
      </c>
      <c r="C102" s="154" t="s">
        <v>285</v>
      </c>
      <c r="D102" s="155">
        <v>128</v>
      </c>
      <c r="E102" s="155">
        <v>87</v>
      </c>
      <c r="F102" s="155">
        <v>33</v>
      </c>
      <c r="G102" s="155">
        <v>112</v>
      </c>
      <c r="H102" s="155">
        <v>84</v>
      </c>
      <c r="I102" s="156">
        <v>120</v>
      </c>
      <c r="J102" s="157">
        <f>=SUM(D102:I102)</f>
        <v>564</v>
      </c>
      <c r="K102" s="158">
        <f>=J102-MIN(E102,F102)</f>
        <v>531</v>
      </c>
      <c r="L102" s="129">
        <f>=(2.04*D102+246.4)*(1.1*(G102+H102)+186)</f>
        <v>203820.032</v>
      </c>
      <c r="M102" s="15">
        <v>127</v>
      </c>
      <c r="N102" s="159" t="s">
        <v>56</v>
      </c>
      <c r="O102" s="154" t="s">
        <v>286</v>
      </c>
      <c r="P102" s="160" t="s"/>
      <c r="Q102" s="160" t="s"/>
      <c r="R102" s="160" t="s"/>
      <c r="S102" s="154" t="s">
        <v>287</v>
      </c>
    </row>
    <row r="103" spans="1:19" ht="13.55" hidden="1" customHeight="1">
      <c r="A103" s="38" t="s">
        <v>476</v>
      </c>
      <c r="B103" s="38" t="s">
        <v>477</v>
      </c>
      <c r="C103" s="38" t="s">
        <v>46</v>
      </c>
      <c r="D103" s="39">
        <v>96</v>
      </c>
      <c r="E103" s="39">
        <v>108</v>
      </c>
      <c r="F103" s="39">
        <v>39</v>
      </c>
      <c r="G103" s="39">
        <v>127</v>
      </c>
      <c r="H103" s="39">
        <v>120</v>
      </c>
      <c r="I103" s="39">
        <v>56</v>
      </c>
      <c r="J103" s="40">
        <f>=SUM(D103:I103)</f>
        <v>546</v>
      </c>
      <c r="K103" s="17">
        <f>=J103-MIN(E103,F103)</f>
        <v>507</v>
      </c>
      <c r="L103" s="41">
        <f>=(2.04*D103+246.4)*(1.1*(G103+H103)+186)</f>
        <v>202413.248</v>
      </c>
      <c r="M103" s="76" t="s"/>
      <c r="N103" s="76" t="s">
        <v>61</v>
      </c>
      <c r="O103" s="38" t="s">
        <v>47</v>
      </c>
      <c r="P103" s="121" t="s"/>
      <c r="Q103" s="121" t="s"/>
      <c r="R103" s="121" t="s"/>
      <c r="S103" s="38" t="s">
        <v>478</v>
      </c>
    </row>
    <row r="104" spans="1:19" ht="13.55" customHeight="1">
      <c r="A104" s="154" t="s">
        <v>551</v>
      </c>
      <c r="B104" s="154" t="s">
        <v>552</v>
      </c>
      <c r="C104" s="154" t="s">
        <v>553</v>
      </c>
      <c r="D104" s="155">
        <v>93</v>
      </c>
      <c r="E104" s="155">
        <v>104</v>
      </c>
      <c r="F104" s="155">
        <v>104</v>
      </c>
      <c r="G104" s="155">
        <v>63</v>
      </c>
      <c r="H104" s="155">
        <v>113</v>
      </c>
      <c r="I104" s="156">
        <v>115</v>
      </c>
      <c r="J104" s="157">
        <f>=SUM(D104:I104)</f>
        <v>592</v>
      </c>
      <c r="K104" s="158">
        <f>=J104-MIN(E104,F104)</f>
        <v>488</v>
      </c>
      <c r="L104" s="129">
        <f>=(2.04*D104+246.4)*(1.1*(G104+H104)+186)</f>
        <v>165551.152</v>
      </c>
      <c r="M104" s="220">
        <v>128</v>
      </c>
      <c r="N104" s="172" t="s">
        <v>56</v>
      </c>
      <c r="O104" s="154" t="s">
        <v>554</v>
      </c>
      <c r="P104" s="160" t="s"/>
      <c r="Q104" s="160" t="s"/>
      <c r="R104" s="160" t="s"/>
      <c r="S104" s="154" t="s">
        <v>555</v>
      </c>
    </row>
    <row r="105" spans="1:40" s="257" customFormat="1" ht="13.55" customHeight="1">
      <c r="A105" s="154" t="s">
        <v>636</v>
      </c>
      <c r="B105" s="154" t="s">
        <v>637</v>
      </c>
      <c r="C105" s="154" t="s">
        <v>638</v>
      </c>
      <c r="D105" s="155">
        <v>122</v>
      </c>
      <c r="E105" s="155">
        <v>67</v>
      </c>
      <c r="F105" s="155">
        <v>72</v>
      </c>
      <c r="G105" s="155">
        <v>84</v>
      </c>
      <c r="H105" s="155">
        <v>94</v>
      </c>
      <c r="I105" s="156">
        <v>100</v>
      </c>
      <c r="J105" s="157">
        <f>=SUM(D105:I105)</f>
        <v>539</v>
      </c>
      <c r="K105" s="158">
        <f>=J105-MIN(E105,F105)</f>
        <v>472</v>
      </c>
      <c r="L105" s="129">
        <f>=(2.04*D105+246.4)*(1.1*(G105+H105)+186)</f>
        <v>189097.904</v>
      </c>
      <c r="M105" s="15">
        <v>129</v>
      </c>
      <c r="N105" s="159" t="s">
        <v>56</v>
      </c>
      <c r="O105" s="154" t="s">
        <v>639</v>
      </c>
      <c r="P105" s="160" t="s"/>
      <c r="Q105" s="160" t="s"/>
      <c r="R105" s="160" t="s"/>
      <c r="S105" s="154" t="s">
        <v>640</v>
      </c>
      <c r="AA105" s="174" t="s"/>
      <c r="AB105" s="174" t="s"/>
      <c r="AC105" s="174" t="s"/>
      <c r="AD105" s="174" t="s"/>
      <c r="AE105" s="174" t="s"/>
      <c r="AF105" s="174" t="s"/>
      <c r="AG105" s="174" t="s"/>
      <c r="AH105" s="174" t="s"/>
      <c r="AI105" s="174" t="s"/>
      <c r="AJ105" s="174" t="s"/>
      <c r="AK105" s="174" t="s"/>
      <c r="AL105" s="174" t="s"/>
      <c r="AM105" s="174" t="s"/>
      <c r="AN105" s="174" t="s"/>
    </row>
    <row r="106" spans="1:19" ht="13.55" customHeight="1">
      <c r="A106" s="38" t="s">
        <v>160</v>
      </c>
      <c r="B106" s="38" t="s">
        <v>161</v>
      </c>
      <c r="C106" s="38" t="s">
        <v>85</v>
      </c>
      <c r="D106" s="39">
        <v>113</v>
      </c>
      <c r="E106" s="39">
        <v>93</v>
      </c>
      <c r="F106" s="39">
        <v>93</v>
      </c>
      <c r="G106" s="39">
        <v>125</v>
      </c>
      <c r="H106" s="39">
        <v>125</v>
      </c>
      <c r="I106" s="39">
        <v>100</v>
      </c>
      <c r="J106" s="40">
        <f>=SUM(D106:I106)</f>
        <v>649</v>
      </c>
      <c r="K106" s="159">
        <f>=J106-MIN(E106,F106)</f>
        <v>556</v>
      </c>
      <c r="L106" s="132">
        <f>=(2.04*D106+246.4)*(1.1*(G106+H106)+186)</f>
        <v>219860.12</v>
      </c>
      <c r="M106" s="76">
        <v>130</v>
      </c>
      <c r="N106" s="76" t="s">
        <v>56</v>
      </c>
      <c r="O106" s="38" t="s">
        <v>162</v>
      </c>
      <c r="P106" s="121" t="s"/>
      <c r="Q106" s="121" t="s"/>
      <c r="R106" s="121" t="s"/>
      <c r="S106" s="38" t="s">
        <v>163</v>
      </c>
    </row>
    <row r="107" spans="1:40" s="254" customFormat="1" ht="13.55" customHeight="1">
      <c r="A107" s="154" t="s">
        <v>142</v>
      </c>
      <c r="B107" s="154" t="s">
        <v>143</v>
      </c>
      <c r="C107" s="154" t="s">
        <v>144</v>
      </c>
      <c r="D107" s="155">
        <v>92</v>
      </c>
      <c r="E107" s="155">
        <v>50</v>
      </c>
      <c r="F107" s="155">
        <v>120</v>
      </c>
      <c r="G107" s="155">
        <v>98</v>
      </c>
      <c r="H107" s="155">
        <v>135</v>
      </c>
      <c r="I107" s="156">
        <v>115</v>
      </c>
      <c r="J107" s="157">
        <f>=SUM(D107:I107)</f>
        <v>610</v>
      </c>
      <c r="K107" s="158">
        <f>=J107-MIN(E107,F107)</f>
        <v>560</v>
      </c>
      <c r="L107" s="129">
        <f>=(2.04*D107+246.4)*(1.1*(G107+H107)+186)</f>
        <v>191993.584</v>
      </c>
      <c r="M107" s="220">
        <v>131</v>
      </c>
      <c r="N107" s="172" t="s">
        <v>56</v>
      </c>
      <c r="O107" s="154" t="s">
        <v>145</v>
      </c>
      <c r="P107" s="160" t="s"/>
      <c r="Q107" s="160" t="s"/>
      <c r="R107" s="160" t="s"/>
      <c r="S107" s="154" t="s">
        <v>146</v>
      </c>
      <c r="T107" s="175" t="s"/>
      <c r="U107" s="175" t="s"/>
      <c r="V107" s="175" t="s"/>
      <c r="W107" s="175" t="s"/>
      <c r="AA107" s="171" t="s"/>
      <c r="AB107" s="171" t="s"/>
      <c r="AC107" s="171" t="s"/>
      <c r="AD107" s="171" t="s"/>
      <c r="AE107" s="171" t="s"/>
      <c r="AF107" s="171" t="s"/>
      <c r="AG107" s="171" t="s"/>
      <c r="AH107" s="171" t="s"/>
      <c r="AI107" s="171" t="s"/>
      <c r="AJ107" s="171" t="s"/>
      <c r="AK107" s="171" t="s"/>
      <c r="AL107" s="171" t="s"/>
      <c r="AM107" s="171" t="s"/>
      <c r="AN107" s="171" t="s"/>
    </row>
    <row r="108" spans="1:23" ht="13.55" customHeight="1">
      <c r="A108" s="154" t="s">
        <v>270</v>
      </c>
      <c r="B108" s="154" t="s">
        <v>271</v>
      </c>
      <c r="C108" s="154" t="s">
        <v>95</v>
      </c>
      <c r="D108" s="155">
        <v>111</v>
      </c>
      <c r="E108" s="155">
        <v>125</v>
      </c>
      <c r="F108" s="155">
        <v>125</v>
      </c>
      <c r="G108" s="155">
        <v>80</v>
      </c>
      <c r="H108" s="155">
        <v>122</v>
      </c>
      <c r="I108" s="156">
        <v>95</v>
      </c>
      <c r="J108" s="157">
        <f>=SUM(D108:I108)</f>
        <v>658</v>
      </c>
      <c r="K108" s="158">
        <f>=J108-MIN(E108,F108)</f>
        <v>533</v>
      </c>
      <c r="L108" s="129">
        <f>=(2.04*D108+246.4)*(1.1*(G108+H108)+186)</f>
        <v>193013.288</v>
      </c>
      <c r="M108" s="15">
        <v>132</v>
      </c>
      <c r="N108" s="159" t="s">
        <v>56</v>
      </c>
      <c r="O108" s="154" t="s">
        <v>272</v>
      </c>
      <c r="P108" s="160" t="s"/>
      <c r="Q108" s="160" t="s"/>
      <c r="R108" s="160" t="s"/>
      <c r="S108" s="154" t="s">
        <v>273</v>
      </c>
      <c r="T108" s="175" t="s"/>
      <c r="U108" s="175" t="s"/>
      <c r="V108" s="175" t="s"/>
      <c r="W108" s="175" t="s"/>
    </row>
    <row r="109" spans="1:40" s="256" customFormat="1" ht="13.55" customHeight="1">
      <c r="A109" s="154" t="s">
        <v>210</v>
      </c>
      <c r="B109" s="154" t="s">
        <v>211</v>
      </c>
      <c r="C109" s="154" t="s">
        <v>212</v>
      </c>
      <c r="D109" s="155">
        <v>137</v>
      </c>
      <c r="E109" s="155">
        <v>51</v>
      </c>
      <c r="F109" s="155">
        <v>111</v>
      </c>
      <c r="G109" s="155">
        <v>88</v>
      </c>
      <c r="H109" s="155">
        <v>130</v>
      </c>
      <c r="I109" s="156">
        <v>80</v>
      </c>
      <c r="J109" s="157">
        <f>=SUM(D109:I109)</f>
        <v>597</v>
      </c>
      <c r="K109" s="158">
        <f>=J109-MIN(E109,F109)</f>
        <v>546</v>
      </c>
      <c r="L109" s="129">
        <f>=(2.04*D109+246.4)*(1.1*(G109+H109)+186)</f>
        <v>223919.704</v>
      </c>
      <c r="M109" s="15">
        <v>133</v>
      </c>
      <c r="N109" s="159" t="s">
        <v>56</v>
      </c>
      <c r="O109" s="154" t="s">
        <v>213</v>
      </c>
      <c r="P109" s="160" t="s"/>
      <c r="Q109" s="160" t="s"/>
      <c r="R109" s="160" t="s"/>
      <c r="S109" s="154" t="s">
        <v>214</v>
      </c>
      <c r="AA109" s="176" t="s"/>
      <c r="AB109" s="176" t="s"/>
      <c r="AC109" s="176" t="s"/>
      <c r="AD109" s="176" t="s"/>
      <c r="AE109" s="176" t="s"/>
      <c r="AF109" s="176" t="s"/>
      <c r="AG109" s="176" t="s"/>
      <c r="AH109" s="176" t="s"/>
      <c r="AI109" s="176" t="s"/>
      <c r="AJ109" s="176" t="s"/>
      <c r="AK109" s="176" t="s"/>
      <c r="AL109" s="176" t="s"/>
      <c r="AM109" s="176" t="s"/>
      <c r="AN109" s="176" t="s"/>
    </row>
    <row r="110" spans="1:19" ht="13.55" customHeight="1">
      <c r="A110" s="154" t="s">
        <v>524</v>
      </c>
      <c r="B110" s="154" t="s">
        <v>525</v>
      </c>
      <c r="C110" s="154" t="s">
        <v>427</v>
      </c>
      <c r="D110" s="155">
        <v>92</v>
      </c>
      <c r="E110" s="155">
        <v>99</v>
      </c>
      <c r="F110" s="155">
        <v>34</v>
      </c>
      <c r="G110" s="155">
        <v>108</v>
      </c>
      <c r="H110" s="155">
        <v>79</v>
      </c>
      <c r="I110" s="156">
        <v>120</v>
      </c>
      <c r="J110" s="157">
        <f>=SUM(D110:I110)</f>
        <v>532</v>
      </c>
      <c r="K110" s="158">
        <f>=J110-MIN(E110,F110)</f>
        <v>498</v>
      </c>
      <c r="L110" s="129">
        <f>=(2.04*D110+246.4)*(1.1*(G110+H110)+186)</f>
        <v>170029.136</v>
      </c>
      <c r="M110" s="220">
        <v>134</v>
      </c>
      <c r="N110" s="172" t="s">
        <v>56</v>
      </c>
      <c r="O110" s="154" t="s">
        <v>526</v>
      </c>
      <c r="P110" s="160" t="s"/>
      <c r="Q110" s="160" t="s"/>
      <c r="R110" s="160" t="s"/>
      <c r="S110" s="154" t="s">
        <v>527</v>
      </c>
    </row>
    <row r="111" spans="1:40" s="257" customFormat="1" ht="13.55" customHeight="1">
      <c r="A111" s="154" t="s">
        <v>575</v>
      </c>
      <c r="B111" s="154" t="s">
        <v>576</v>
      </c>
      <c r="C111" s="154" t="s">
        <v>46</v>
      </c>
      <c r="D111" s="155">
        <v>115</v>
      </c>
      <c r="E111" s="155">
        <v>89</v>
      </c>
      <c r="F111" s="155">
        <v>89</v>
      </c>
      <c r="G111" s="155">
        <v>109</v>
      </c>
      <c r="H111" s="155">
        <v>75</v>
      </c>
      <c r="I111" s="156">
        <v>95</v>
      </c>
      <c r="J111" s="157">
        <f>=SUM(D111:I111)</f>
        <v>572</v>
      </c>
      <c r="K111" s="158">
        <f>=J111-MIN(E111,F111)</f>
        <v>483</v>
      </c>
      <c r="L111" s="129">
        <f>=(2.04*D111+246.4)*(1.1*(G111+H111)+186)</f>
        <v>186820.4</v>
      </c>
      <c r="M111" s="15">
        <v>135</v>
      </c>
      <c r="N111" s="159" t="s">
        <v>56</v>
      </c>
      <c r="O111" s="154" t="s">
        <v>577</v>
      </c>
      <c r="P111" s="160" t="s"/>
      <c r="Q111" s="160" t="s"/>
      <c r="R111" s="160" t="s"/>
      <c r="S111" s="154" t="s">
        <v>578</v>
      </c>
      <c r="AA111" s="174" t="s"/>
      <c r="AB111" s="174" t="s"/>
      <c r="AC111" s="174" t="s"/>
      <c r="AD111" s="174" t="s"/>
      <c r="AE111" s="174" t="s"/>
      <c r="AF111" s="174" t="s"/>
      <c r="AG111" s="174" t="s"/>
      <c r="AH111" s="174" t="s"/>
      <c r="AI111" s="174" t="s"/>
      <c r="AJ111" s="174" t="s"/>
      <c r="AK111" s="174" t="s"/>
      <c r="AL111" s="174" t="s"/>
      <c r="AM111" s="174" t="s"/>
      <c r="AN111" s="174" t="s"/>
    </row>
    <row r="112" spans="1:19" ht="13.55" customHeight="1">
      <c r="A112" s="154" t="s">
        <v>173</v>
      </c>
      <c r="B112" s="154" t="s">
        <v>174</v>
      </c>
      <c r="C112" s="154" t="s">
        <v>175</v>
      </c>
      <c r="D112" s="155">
        <v>112</v>
      </c>
      <c r="E112" s="155">
        <v>47</v>
      </c>
      <c r="F112" s="155">
        <v>122</v>
      </c>
      <c r="G112" s="155">
        <v>100</v>
      </c>
      <c r="H112" s="155">
        <v>127</v>
      </c>
      <c r="I112" s="156">
        <v>90</v>
      </c>
      <c r="J112" s="157">
        <f>=SUM(D112:I112)</f>
        <v>598</v>
      </c>
      <c r="K112" s="158">
        <f>=J112-MIN(E112,F112)</f>
        <v>551</v>
      </c>
      <c r="L112" s="129">
        <f>=(2.04*D112+246.4)*(1.1*(G112+H112)+186)</f>
        <v>206905.216</v>
      </c>
      <c r="M112" s="15">
        <v>138</v>
      </c>
      <c r="N112" s="159" t="s">
        <v>56</v>
      </c>
      <c r="O112" s="154" t="s">
        <v>176</v>
      </c>
      <c r="P112" s="160" t="s"/>
      <c r="Q112" s="160" t="s"/>
      <c r="R112" s="160" t="s"/>
      <c r="S112" s="154" t="s">
        <v>177</v>
      </c>
    </row>
    <row r="113" spans="1:19" ht="13.55" customHeight="1">
      <c r="A113" s="154" t="s">
        <v>519</v>
      </c>
      <c r="B113" s="154" t="s">
        <v>520</v>
      </c>
      <c r="C113" s="154" t="s">
        <v>521</v>
      </c>
      <c r="D113" s="155">
        <v>96</v>
      </c>
      <c r="E113" s="155">
        <v>71</v>
      </c>
      <c r="F113" s="155">
        <v>73</v>
      </c>
      <c r="G113" s="155">
        <v>81</v>
      </c>
      <c r="H113" s="155">
        <v>133</v>
      </c>
      <c r="I113" s="156">
        <v>115</v>
      </c>
      <c r="J113" s="157">
        <f>=SUM(D113:I113)</f>
        <v>569</v>
      </c>
      <c r="K113" s="158">
        <f>=J113-MIN(E113,F113)</f>
        <v>498</v>
      </c>
      <c r="L113" s="129">
        <f>=(2.04*D113+246.4)*(1.1*(G113+H113)+186)</f>
        <v>186359.936</v>
      </c>
      <c r="M113" s="220">
        <v>139</v>
      </c>
      <c r="N113" s="172" t="s">
        <v>56</v>
      </c>
      <c r="O113" s="154" t="s">
        <v>522</v>
      </c>
      <c r="P113" s="160" t="s"/>
      <c r="Q113" s="160" t="s"/>
      <c r="R113" s="160" t="s"/>
      <c r="S113" s="154" t="s">
        <v>523</v>
      </c>
    </row>
    <row r="114" spans="1:19" ht="13.55" customHeight="1">
      <c r="A114" s="154" t="s">
        <v>261</v>
      </c>
      <c r="B114" s="154" t="s">
        <v>262</v>
      </c>
      <c r="C114" s="154" t="s">
        <v>258</v>
      </c>
      <c r="D114" s="155">
        <v>112</v>
      </c>
      <c r="E114" s="155">
        <v>111</v>
      </c>
      <c r="F114" s="155">
        <v>48</v>
      </c>
      <c r="G114" s="155">
        <v>120</v>
      </c>
      <c r="H114" s="155">
        <v>81</v>
      </c>
      <c r="I114" s="156">
        <v>110</v>
      </c>
      <c r="J114" s="157">
        <f>=SUM(D114:I114)</f>
        <v>582</v>
      </c>
      <c r="K114" s="158">
        <f>=J114-MIN(E114,F114)</f>
        <v>534</v>
      </c>
      <c r="L114" s="129">
        <f>=(2.04*D114+246.4)*(1.1*(G114+H114)+186)</f>
        <v>193323.648</v>
      </c>
      <c r="M114" s="15">
        <v>141</v>
      </c>
      <c r="N114" s="159" t="s">
        <v>56</v>
      </c>
      <c r="O114" s="154" t="s">
        <v>263</v>
      </c>
      <c r="P114" s="160" t="s"/>
      <c r="Q114" s="160" t="s"/>
      <c r="R114" s="160" t="s"/>
      <c r="S114" s="154" t="s">
        <v>264</v>
      </c>
    </row>
    <row r="115" spans="1:40" s="256" customFormat="1" ht="13.55" customHeight="1">
      <c r="A115" s="154" t="s">
        <v>622</v>
      </c>
      <c r="B115" s="154" t="s">
        <v>623</v>
      </c>
      <c r="C115" s="154" t="s">
        <v>120</v>
      </c>
      <c r="D115" s="155">
        <v>106</v>
      </c>
      <c r="E115" s="155">
        <v>49</v>
      </c>
      <c r="F115" s="155">
        <v>116</v>
      </c>
      <c r="G115" s="155">
        <v>77</v>
      </c>
      <c r="H115" s="155">
        <v>115</v>
      </c>
      <c r="I115" s="156">
        <v>60</v>
      </c>
      <c r="J115" s="157">
        <f>=SUM(D115:I115)</f>
        <v>523</v>
      </c>
      <c r="K115" s="158">
        <f>=J115-MIN(E115,F115)</f>
        <v>474</v>
      </c>
      <c r="L115" s="129">
        <f>=(2.04*D115+246.4)*(1.1*(G115+H115)+186)</f>
        <v>183760.608</v>
      </c>
      <c r="M115" s="220">
        <v>144</v>
      </c>
      <c r="N115" s="172" t="s">
        <v>56</v>
      </c>
      <c r="O115" s="154" t="s">
        <v>624</v>
      </c>
      <c r="P115" s="160" t="s"/>
      <c r="Q115" s="160" t="s"/>
      <c r="R115" s="160" t="s"/>
      <c r="S115" s="154" t="s">
        <v>625</v>
      </c>
      <c r="AA115" s="176" t="s"/>
      <c r="AB115" s="176" t="s"/>
      <c r="AC115" s="176" t="s"/>
      <c r="AD115" s="176" t="s"/>
      <c r="AE115" s="176" t="s"/>
      <c r="AF115" s="176" t="s"/>
      <c r="AG115" s="176" t="s"/>
      <c r="AH115" s="176" t="s"/>
      <c r="AI115" s="176" t="s"/>
      <c r="AJ115" s="176" t="s"/>
      <c r="AK115" s="176" t="s"/>
      <c r="AL115" s="176" t="s"/>
      <c r="AM115" s="176" t="s"/>
      <c r="AN115" s="176" t="s"/>
    </row>
    <row r="116" spans="1:19" ht="13.55" customHeight="1">
      <c r="A116" s="154" t="s">
        <v>315</v>
      </c>
      <c r="B116" s="154" t="s">
        <v>316</v>
      </c>
      <c r="C116" s="154" t="s">
        <v>144</v>
      </c>
      <c r="D116" s="155">
        <v>113</v>
      </c>
      <c r="E116" s="155">
        <v>50</v>
      </c>
      <c r="F116" s="155">
        <v>133</v>
      </c>
      <c r="G116" s="155">
        <v>75</v>
      </c>
      <c r="H116" s="155">
        <v>93</v>
      </c>
      <c r="I116" s="156">
        <v>115</v>
      </c>
      <c r="J116" s="157">
        <f>=SUM(D116:I116)</f>
        <v>579</v>
      </c>
      <c r="K116" s="158">
        <f>=J116-MIN(E116,F116)</f>
        <v>529</v>
      </c>
      <c r="L116" s="129">
        <f>=(2.04*D116+246.4)*(1.1*(G116+H116)+186)</f>
        <v>176841.936</v>
      </c>
      <c r="M116" s="220">
        <v>145</v>
      </c>
      <c r="N116" s="172" t="s">
        <v>56</v>
      </c>
      <c r="O116" s="154" t="s">
        <v>317</v>
      </c>
      <c r="P116" s="160" t="s"/>
      <c r="Q116" s="160" t="s"/>
      <c r="R116" s="160" t="s"/>
      <c r="S116" s="154" t="s">
        <v>318</v>
      </c>
    </row>
    <row r="117" spans="1:19" ht="13.55" hidden="1" customHeight="1">
      <c r="A117" s="38" t="s">
        <v>538</v>
      </c>
      <c r="B117" s="38" t="s">
        <v>539</v>
      </c>
      <c r="C117" s="38" t="s">
        <v>51</v>
      </c>
      <c r="D117" s="39">
        <v>115</v>
      </c>
      <c r="E117" s="39">
        <v>125</v>
      </c>
      <c r="F117" s="39">
        <v>51</v>
      </c>
      <c r="G117" s="39">
        <v>108</v>
      </c>
      <c r="H117" s="39">
        <v>88</v>
      </c>
      <c r="I117" s="39">
        <v>60</v>
      </c>
      <c r="J117" s="40">
        <f>=SUM(D117:I117)</f>
        <v>547</v>
      </c>
      <c r="K117" s="17">
        <f>=J117-MIN(E117,F117)</f>
        <v>496</v>
      </c>
      <c r="L117" s="41">
        <f>=(2.04*D117+246.4)*(1.1*(G117+H117)+186)</f>
        <v>193169.6</v>
      </c>
      <c r="M117" s="76" t="s"/>
      <c r="N117" s="76" t="s">
        <v>61</v>
      </c>
      <c r="O117" s="38" t="s">
        <v>52</v>
      </c>
      <c r="P117" s="121" t="s"/>
      <c r="Q117" s="121" t="s"/>
      <c r="R117" s="121" t="s"/>
      <c r="S117" s="38" t="s">
        <v>540</v>
      </c>
    </row>
    <row r="118" spans="1:23" ht="13.55" customHeight="1">
      <c r="A118" s="154" t="s">
        <v>528</v>
      </c>
      <c r="B118" s="154" t="s">
        <v>529</v>
      </c>
      <c r="C118" s="154" t="s">
        <v>530</v>
      </c>
      <c r="D118" s="155">
        <v>90</v>
      </c>
      <c r="E118" s="155">
        <v>126</v>
      </c>
      <c r="F118" s="155">
        <v>45</v>
      </c>
      <c r="G118" s="155">
        <v>88</v>
      </c>
      <c r="H118" s="155">
        <v>69</v>
      </c>
      <c r="I118" s="156">
        <v>125</v>
      </c>
      <c r="J118" s="157">
        <f>=SUM(D118:I118)</f>
        <v>543</v>
      </c>
      <c r="K118" s="158">
        <f>=J118-MIN(E118,F118)</f>
        <v>498</v>
      </c>
      <c r="L118" s="129">
        <f>=(2.04*D118+246.4)*(1.1*(G118+H118)+186)</f>
        <v>154241</v>
      </c>
      <c r="M118" s="220">
        <v>146</v>
      </c>
      <c r="N118" s="172" t="s">
        <v>56</v>
      </c>
      <c r="O118" s="154" t="s">
        <v>531</v>
      </c>
      <c r="P118" s="160" t="s"/>
      <c r="Q118" s="160" t="s"/>
      <c r="R118" s="160" t="s"/>
      <c r="S118" s="154" t="s">
        <v>532</v>
      </c>
      <c r="T118" s="177" t="s"/>
      <c r="U118" s="177" t="s"/>
      <c r="V118" s="177" t="s"/>
      <c r="W118" s="177" t="s"/>
    </row>
    <row r="119" spans="1:40" s="258" customFormat="1" ht="13.55" customHeight="1">
      <c r="A119" s="239" t="s">
        <v>668</v>
      </c>
      <c r="B119" s="239" t="s">
        <v>669</v>
      </c>
      <c r="C119" s="239" t="s">
        <v>36</v>
      </c>
      <c r="D119" s="240">
        <v>83</v>
      </c>
      <c r="E119" s="240">
        <v>49</v>
      </c>
      <c r="F119" s="240">
        <v>113</v>
      </c>
      <c r="G119" s="240">
        <v>62</v>
      </c>
      <c r="H119" s="240">
        <v>78</v>
      </c>
      <c r="I119" s="241">
        <v>125</v>
      </c>
      <c r="J119" s="242">
        <f>=SUM(D119:I119)</f>
        <v>510</v>
      </c>
      <c r="K119" s="243">
        <f>=J119-MIN(E119,F119)</f>
        <v>461</v>
      </c>
      <c r="L119" s="244">
        <f>=(2.04*D119+246.4)*(1.1*(G119+H119)+186)</f>
        <v>141344.8</v>
      </c>
      <c r="M119" s="243">
        <v>147</v>
      </c>
      <c r="N119" s="245" t="s">
        <v>56</v>
      </c>
      <c r="O119" s="239" t="s">
        <v>670</v>
      </c>
      <c r="P119" s="249" t="s"/>
      <c r="Q119" s="249" t="s"/>
      <c r="R119" s="249" t="s"/>
      <c r="S119" s="239" t="s">
        <v>671</v>
      </c>
      <c r="T119" s="247" t="s"/>
      <c r="U119" s="247" t="s"/>
      <c r="V119" s="247" t="s"/>
      <c r="W119" s="247" t="s"/>
      <c r="AA119" s="250" t="s"/>
      <c r="AB119" s="250" t="s"/>
      <c r="AC119" s="250" t="s"/>
      <c r="AD119" s="250" t="s"/>
      <c r="AE119" s="250" t="s"/>
      <c r="AF119" s="250" t="s"/>
      <c r="AG119" s="250" t="s"/>
      <c r="AH119" s="250" t="s"/>
      <c r="AI119" s="250" t="s"/>
      <c r="AJ119" s="250" t="s"/>
      <c r="AK119" s="250" t="s"/>
      <c r="AL119" s="250" t="s"/>
      <c r="AM119" s="250" t="s"/>
      <c r="AN119" s="250" t="s"/>
    </row>
    <row r="120" spans="1:19" ht="13.55" customHeight="1">
      <c r="A120" s="154" t="s">
        <v>556</v>
      </c>
      <c r="B120" s="154" t="s">
        <v>557</v>
      </c>
      <c r="C120" s="154" t="s">
        <v>558</v>
      </c>
      <c r="D120" s="155">
        <v>99</v>
      </c>
      <c r="E120" s="155">
        <v>96</v>
      </c>
      <c r="F120" s="155">
        <v>101</v>
      </c>
      <c r="G120" s="155">
        <v>128</v>
      </c>
      <c r="H120" s="155">
        <v>94</v>
      </c>
      <c r="I120" s="156">
        <v>65</v>
      </c>
      <c r="J120" s="157">
        <f>=SUM(D120:I120)</f>
        <v>583</v>
      </c>
      <c r="K120" s="158">
        <f>=J120-MIN(E120,F120)</f>
        <v>487</v>
      </c>
      <c r="L120" s="129">
        <f>=(2.04*D120+246.4)*(1.1*(G120+H120)+186)</f>
        <v>192884.472</v>
      </c>
      <c r="M120" s="15">
        <v>148</v>
      </c>
      <c r="N120" s="159" t="s">
        <v>56</v>
      </c>
      <c r="O120" s="154" t="s">
        <v>559</v>
      </c>
      <c r="P120" s="160" t="s"/>
      <c r="Q120" s="160" t="s"/>
      <c r="R120" s="160" t="s"/>
      <c r="S120" s="154" t="s">
        <v>560</v>
      </c>
    </row>
    <row r="121" spans="1:19" ht="13.55" customHeight="1">
      <c r="A121" s="154" t="s">
        <v>570</v>
      </c>
      <c r="B121" s="154" t="s">
        <v>571</v>
      </c>
      <c r="C121" s="154" t="s">
        <v>572</v>
      </c>
      <c r="D121" s="155">
        <v>122</v>
      </c>
      <c r="E121" s="155">
        <v>88</v>
      </c>
      <c r="F121" s="155">
        <v>39</v>
      </c>
      <c r="G121" s="155">
        <v>121</v>
      </c>
      <c r="H121" s="155">
        <v>77</v>
      </c>
      <c r="I121" s="156">
        <v>75</v>
      </c>
      <c r="J121" s="157">
        <f>=SUM(D121:I121)</f>
        <v>522</v>
      </c>
      <c r="K121" s="158">
        <f>=J121-MIN(E121,F121)</f>
        <v>483</v>
      </c>
      <c r="L121" s="129">
        <f>=(2.04*D121+246.4)*(1.1*(G121+H121)+186)</f>
        <v>199994.064</v>
      </c>
      <c r="M121" s="220">
        <v>149</v>
      </c>
      <c r="N121" s="172" t="s">
        <v>56</v>
      </c>
      <c r="O121" s="154" t="s">
        <v>573</v>
      </c>
      <c r="P121" s="160" t="s"/>
      <c r="Q121" s="160" t="s"/>
      <c r="R121" s="160" t="s"/>
      <c r="S121" s="154" t="s">
        <v>574</v>
      </c>
    </row>
    <row r="122" spans="1:19" ht="13.55" customHeight="1">
      <c r="A122" s="154" t="s">
        <v>192</v>
      </c>
      <c r="B122" s="154" t="s">
        <v>193</v>
      </c>
      <c r="C122" s="154" t="s">
        <v>194</v>
      </c>
      <c r="D122" s="155">
        <v>99</v>
      </c>
      <c r="E122" s="155">
        <v>43</v>
      </c>
      <c r="F122" s="155">
        <v>112</v>
      </c>
      <c r="G122" s="155">
        <v>109</v>
      </c>
      <c r="H122" s="155">
        <v>139</v>
      </c>
      <c r="I122" s="156">
        <v>90</v>
      </c>
      <c r="J122" s="157">
        <f>=SUM(D122:I122)</f>
        <v>592</v>
      </c>
      <c r="K122" s="158">
        <f>=J122-MIN(E122,F122)</f>
        <v>549</v>
      </c>
      <c r="L122" s="129">
        <f>=(2.04*D122+246.4)*(1.1*(G122+H122)+186)</f>
        <v>205707.568</v>
      </c>
      <c r="M122" s="15">
        <v>150</v>
      </c>
      <c r="N122" s="159" t="s">
        <v>56</v>
      </c>
      <c r="O122" s="154" t="s">
        <v>195</v>
      </c>
      <c r="P122" s="160" t="s"/>
      <c r="Q122" s="160" t="s"/>
      <c r="R122" s="160" t="s"/>
      <c r="S122" s="154" t="s">
        <v>196</v>
      </c>
    </row>
    <row r="123" spans="1:19" ht="13.55" customHeight="1">
      <c r="A123" s="154" t="s">
        <v>215</v>
      </c>
      <c r="B123" s="154" t="s">
        <v>216</v>
      </c>
      <c r="C123" s="154" t="s">
        <v>115</v>
      </c>
      <c r="D123" s="155">
        <v>104</v>
      </c>
      <c r="E123" s="155">
        <v>146</v>
      </c>
      <c r="F123" s="155">
        <v>67</v>
      </c>
      <c r="G123" s="155">
        <v>112</v>
      </c>
      <c r="H123" s="155">
        <v>73</v>
      </c>
      <c r="I123" s="156">
        <v>110</v>
      </c>
      <c r="J123" s="157">
        <f>=SUM(D123:I123)</f>
        <v>612</v>
      </c>
      <c r="K123" s="158">
        <f>=J123-MIN(E123,F123)</f>
        <v>545</v>
      </c>
      <c r="L123" s="129">
        <f>=(2.04*D123+246.4)*(1.1*(G123+H123)+186)</f>
        <v>178609.12</v>
      </c>
      <c r="M123" s="15">
        <v>151</v>
      </c>
      <c r="N123" s="159" t="s">
        <v>56</v>
      </c>
      <c r="O123" s="154" t="s">
        <v>217</v>
      </c>
      <c r="P123" s="160" t="s"/>
      <c r="Q123" s="160" t="s"/>
      <c r="R123" s="160" t="s"/>
      <c r="S123" s="154" t="s">
        <v>218</v>
      </c>
    </row>
    <row r="124" spans="1:40" s="258" customFormat="1" ht="13.55" customHeight="1">
      <c r="A124" s="239" t="s">
        <v>228</v>
      </c>
      <c r="B124" s="239" t="s">
        <v>229</v>
      </c>
      <c r="C124" s="239" t="s">
        <v>51</v>
      </c>
      <c r="D124" s="240">
        <v>114</v>
      </c>
      <c r="E124" s="240">
        <v>109</v>
      </c>
      <c r="F124" s="240">
        <v>109</v>
      </c>
      <c r="G124" s="240">
        <v>134</v>
      </c>
      <c r="H124" s="240">
        <v>89</v>
      </c>
      <c r="I124" s="241">
        <v>95</v>
      </c>
      <c r="J124" s="242">
        <f>=SUM(D124:I124)</f>
        <v>650</v>
      </c>
      <c r="K124" s="243">
        <f>=J124-MIN(E124,F124)</f>
        <v>541</v>
      </c>
      <c r="L124" s="244">
        <f>=(2.04*D124+246.4)*(1.1*(G124+H124)+186)</f>
        <v>206575.448</v>
      </c>
      <c r="M124" s="243">
        <v>153</v>
      </c>
      <c r="N124" s="245" t="s">
        <v>56</v>
      </c>
      <c r="O124" s="239" t="s">
        <v>230</v>
      </c>
      <c r="P124" s="246" t="s"/>
      <c r="Q124" s="246" t="s"/>
      <c r="R124" s="246" t="s"/>
      <c r="S124" s="239" t="s">
        <v>231</v>
      </c>
      <c r="T124" s="253" t="s"/>
      <c r="U124" s="253" t="s"/>
      <c r="V124" s="253" t="s"/>
      <c r="W124" s="253" t="s"/>
      <c r="AA124" s="250" t="s"/>
      <c r="AB124" s="250" t="s"/>
      <c r="AC124" s="250" t="s"/>
      <c r="AD124" s="250" t="s"/>
      <c r="AE124" s="250" t="s"/>
      <c r="AF124" s="250" t="s"/>
      <c r="AG124" s="250" t="s"/>
      <c r="AH124" s="250" t="s"/>
      <c r="AI124" s="250" t="s"/>
      <c r="AJ124" s="250" t="s"/>
      <c r="AK124" s="250" t="s"/>
      <c r="AL124" s="250" t="s"/>
      <c r="AM124" s="250" t="s"/>
      <c r="AN124" s="250" t="s"/>
    </row>
    <row r="125" spans="1:19" ht="13.55" customHeight="1">
      <c r="A125" s="154" t="s">
        <v>514</v>
      </c>
      <c r="B125" s="154" t="s">
        <v>515</v>
      </c>
      <c r="C125" s="154" t="s">
        <v>516</v>
      </c>
      <c r="D125" s="155">
        <v>121</v>
      </c>
      <c r="E125" s="155">
        <v>96</v>
      </c>
      <c r="F125" s="155">
        <v>96</v>
      </c>
      <c r="G125" s="155">
        <v>101</v>
      </c>
      <c r="H125" s="155">
        <v>101</v>
      </c>
      <c r="I125" s="156">
        <v>80</v>
      </c>
      <c r="J125" s="157">
        <f>=SUM(D125:I125)</f>
        <v>595</v>
      </c>
      <c r="K125" s="158">
        <f>=J125-MIN(E125,F125)</f>
        <v>499</v>
      </c>
      <c r="L125" s="129">
        <f>=(2.04*D125+246.4)*(1.1*(G125+H125)+186)</f>
        <v>201340.568</v>
      </c>
      <c r="M125" s="220">
        <v>154</v>
      </c>
      <c r="N125" s="172" t="s">
        <v>56</v>
      </c>
      <c r="O125" s="154" t="s">
        <v>517</v>
      </c>
      <c r="P125" s="160" t="s"/>
      <c r="Q125" s="160" t="s"/>
      <c r="R125" s="160" t="s"/>
      <c r="S125" s="154" t="s">
        <v>518</v>
      </c>
    </row>
    <row r="126" spans="1:19" ht="13.55" customHeight="1">
      <c r="A126" s="154" t="s">
        <v>561</v>
      </c>
      <c r="B126" s="154" t="s">
        <v>562</v>
      </c>
      <c r="C126" s="154" t="s">
        <v>563</v>
      </c>
      <c r="D126" s="155">
        <v>95</v>
      </c>
      <c r="E126" s="155">
        <v>99</v>
      </c>
      <c r="F126" s="155">
        <v>99</v>
      </c>
      <c r="G126" s="155">
        <v>126</v>
      </c>
      <c r="H126" s="155">
        <v>70</v>
      </c>
      <c r="I126" s="156">
        <v>95</v>
      </c>
      <c r="J126" s="157">
        <f>=SUM(D126:I126)</f>
        <v>584</v>
      </c>
      <c r="K126" s="158">
        <f>=J126-MIN(E126,F126)</f>
        <v>485</v>
      </c>
      <c r="L126" s="129">
        <f>=(2.04*D126+246.4)*(1.1*(G126+H126)+186)</f>
        <v>176784.32</v>
      </c>
      <c r="M126" s="15">
        <v>155</v>
      </c>
      <c r="N126" s="159" t="s">
        <v>56</v>
      </c>
      <c r="O126" s="154" t="s">
        <v>564</v>
      </c>
      <c r="P126" s="160" t="s"/>
      <c r="Q126" s="160" t="s"/>
      <c r="R126" s="160" t="s"/>
      <c r="S126" s="154" t="s">
        <v>565</v>
      </c>
    </row>
    <row r="127" spans="1:19" ht="13.55" customHeight="1">
      <c r="A127" s="154" t="s">
        <v>319</v>
      </c>
      <c r="B127" s="154" t="s">
        <v>320</v>
      </c>
      <c r="C127" s="154" t="s">
        <v>321</v>
      </c>
      <c r="D127" s="155">
        <v>100</v>
      </c>
      <c r="E127" s="155">
        <v>147</v>
      </c>
      <c r="F127" s="155">
        <v>137</v>
      </c>
      <c r="G127" s="155">
        <v>93</v>
      </c>
      <c r="H127" s="155">
        <v>74</v>
      </c>
      <c r="I127" s="156">
        <v>115</v>
      </c>
      <c r="J127" s="157">
        <f>=SUM(D127:I127)</f>
        <v>666</v>
      </c>
      <c r="K127" s="158">
        <f>=J127-MIN(E127,F127)</f>
        <v>529</v>
      </c>
      <c r="L127" s="129">
        <f>=(2.04*D127+246.4)*(1.1*(G127+H127)+186)</f>
        <v>166512.88</v>
      </c>
      <c r="M127" s="220">
        <v>156</v>
      </c>
      <c r="N127" s="172" t="s">
        <v>56</v>
      </c>
      <c r="O127" s="154" t="s">
        <v>322</v>
      </c>
      <c r="P127" s="160" t="s"/>
      <c r="Q127" s="160" t="s"/>
      <c r="R127" s="160" t="s"/>
      <c r="S127" s="154" t="s">
        <v>323</v>
      </c>
    </row>
    <row r="128" spans="1:19" ht="13.55" customHeight="1">
      <c r="A128" s="154" t="s">
        <v>724</v>
      </c>
      <c r="B128" s="154" t="s">
        <v>725</v>
      </c>
      <c r="C128" s="154" t="s">
        <v>90</v>
      </c>
      <c r="D128" s="155">
        <v>111</v>
      </c>
      <c r="E128" s="155">
        <v>67</v>
      </c>
      <c r="F128" s="155">
        <v>65</v>
      </c>
      <c r="G128" s="155">
        <v>91</v>
      </c>
      <c r="H128" s="155">
        <v>72</v>
      </c>
      <c r="I128" s="156">
        <v>105</v>
      </c>
      <c r="J128" s="157">
        <f>=SUM(D128:I128)</f>
        <v>511</v>
      </c>
      <c r="K128" s="158">
        <f>=J128-MIN(E128,F128)</f>
        <v>446</v>
      </c>
      <c r="L128" s="129">
        <f>=(2.04*D128+246.4)*(1.1*(G128+H128)+186)</f>
        <v>172728.452</v>
      </c>
      <c r="M128" s="220">
        <v>157</v>
      </c>
      <c r="N128" s="172" t="s">
        <v>56</v>
      </c>
      <c r="O128" s="154" t="s">
        <v>726</v>
      </c>
      <c r="P128" s="160" t="s"/>
      <c r="Q128" s="160" t="s"/>
      <c r="R128" s="160" t="s"/>
      <c r="S128" s="154" t="s">
        <v>727</v>
      </c>
    </row>
    <row r="129" spans="1:40" s="254" customFormat="1" ht="13.55" customHeight="1">
      <c r="A129" s="154" t="s">
        <v>182</v>
      </c>
      <c r="B129" s="154" t="s">
        <v>183</v>
      </c>
      <c r="C129" s="154" t="s">
        <v>184</v>
      </c>
      <c r="D129" s="155">
        <v>75</v>
      </c>
      <c r="E129" s="155">
        <v>116</v>
      </c>
      <c r="F129" s="155">
        <v>123</v>
      </c>
      <c r="G129" s="155">
        <v>112</v>
      </c>
      <c r="H129" s="155">
        <v>116</v>
      </c>
      <c r="I129" s="156">
        <v>125</v>
      </c>
      <c r="J129" s="157">
        <f>=SUM(D129:I129)</f>
        <v>667</v>
      </c>
      <c r="K129" s="158">
        <f>=J129-MIN(E129,F129)</f>
        <v>551</v>
      </c>
      <c r="L129" s="129">
        <f>=(2.04*D129+246.4)*(1.1*(G129+H129)+186)</f>
        <v>174457.92</v>
      </c>
      <c r="M129" s="15">
        <v>158</v>
      </c>
      <c r="N129" s="159" t="s">
        <v>56</v>
      </c>
      <c r="O129" s="154" t="s">
        <v>185</v>
      </c>
      <c r="P129" s="160" t="s"/>
      <c r="Q129" s="160" t="s"/>
      <c r="R129" s="160" t="s"/>
      <c r="S129" s="154" t="s">
        <v>186</v>
      </c>
      <c r="AA129" s="171" t="s"/>
      <c r="AB129" s="171" t="s"/>
      <c r="AC129" s="171" t="s"/>
      <c r="AD129" s="171" t="s"/>
      <c r="AE129" s="171" t="s"/>
      <c r="AF129" s="171" t="s"/>
      <c r="AG129" s="171" t="s"/>
      <c r="AH129" s="171" t="s"/>
      <c r="AI129" s="171" t="s"/>
      <c r="AJ129" s="171" t="s"/>
      <c r="AK129" s="171" t="s"/>
      <c r="AL129" s="171" t="s"/>
      <c r="AM129" s="171" t="s"/>
      <c r="AN129" s="171" t="s"/>
    </row>
    <row r="130" spans="1:23" ht="13.55" customHeight="1">
      <c r="A130" s="154" t="s">
        <v>407</v>
      </c>
      <c r="B130" s="154" t="s">
        <v>408</v>
      </c>
      <c r="C130" s="154" t="s">
        <v>409</v>
      </c>
      <c r="D130" s="155">
        <v>114</v>
      </c>
      <c r="E130" s="155">
        <v>102</v>
      </c>
      <c r="F130" s="155">
        <v>107</v>
      </c>
      <c r="G130" s="155">
        <v>82</v>
      </c>
      <c r="H130" s="155">
        <v>124</v>
      </c>
      <c r="I130" s="156">
        <v>90</v>
      </c>
      <c r="J130" s="157">
        <f>=SUM(D130:I130)</f>
        <v>619</v>
      </c>
      <c r="K130" s="158">
        <f>=J130-MIN(E130,F130)</f>
        <v>517</v>
      </c>
      <c r="L130" s="129">
        <f>=(2.04*D130+246.4)*(1.1*(G130+H130)+186)</f>
        <v>197618.896</v>
      </c>
      <c r="M130" s="220">
        <v>159</v>
      </c>
      <c r="N130" s="172" t="s">
        <v>56</v>
      </c>
      <c r="O130" s="154" t="s">
        <v>410</v>
      </c>
      <c r="P130" s="160" t="s"/>
      <c r="Q130" s="160" t="s"/>
      <c r="R130" s="160" t="s"/>
      <c r="S130" s="154" t="s">
        <v>411</v>
      </c>
      <c r="T130" s="177" t="s"/>
      <c r="U130" s="177" t="s"/>
      <c r="V130" s="177" t="s"/>
      <c r="W130" s="177" t="s"/>
    </row>
    <row r="131" spans="1:19" ht="13.55" customHeight="1">
      <c r="A131" s="154" t="s">
        <v>602</v>
      </c>
      <c r="B131" s="154" t="s">
        <v>603</v>
      </c>
      <c r="C131" s="154" t="s">
        <v>360</v>
      </c>
      <c r="D131" s="155">
        <v>106</v>
      </c>
      <c r="E131" s="155">
        <v>91</v>
      </c>
      <c r="F131" s="155">
        <v>89</v>
      </c>
      <c r="G131" s="155">
        <v>95</v>
      </c>
      <c r="H131" s="155">
        <v>95</v>
      </c>
      <c r="I131" s="156">
        <v>90</v>
      </c>
      <c r="J131" s="157">
        <f>=SUM(D131:I131)</f>
        <v>566</v>
      </c>
      <c r="K131" s="158">
        <f>=J131-MIN(E131,F131)</f>
        <v>477</v>
      </c>
      <c r="L131" s="129">
        <f>=(2.04*D131+246.4)*(1.1*(G131+H131)+186)</f>
        <v>182742.8</v>
      </c>
      <c r="M131" s="220">
        <v>160</v>
      </c>
      <c r="N131" s="172" t="s">
        <v>56</v>
      </c>
      <c r="O131" s="154" t="s">
        <v>604</v>
      </c>
      <c r="P131" s="160" t="s"/>
      <c r="Q131" s="160" t="s"/>
      <c r="R131" s="160" t="s"/>
      <c r="S131" s="154" t="s">
        <v>605</v>
      </c>
    </row>
    <row r="132" spans="1:19" ht="13.55" customHeight="1">
      <c r="A132" s="154" t="s">
        <v>675</v>
      </c>
      <c r="B132" s="154" t="s">
        <v>676</v>
      </c>
      <c r="C132" s="154" t="s">
        <v>530</v>
      </c>
      <c r="D132" s="155">
        <v>126</v>
      </c>
      <c r="E132" s="155">
        <v>87</v>
      </c>
      <c r="F132" s="155">
        <v>87</v>
      </c>
      <c r="G132" s="155">
        <v>90</v>
      </c>
      <c r="H132" s="155">
        <v>72</v>
      </c>
      <c r="I132" s="156">
        <v>85</v>
      </c>
      <c r="J132" s="157">
        <f>=SUM(D132:I132)</f>
        <v>547</v>
      </c>
      <c r="K132" s="158">
        <f>=J132-MIN(E132,F132)</f>
        <v>460</v>
      </c>
      <c r="L132" s="129">
        <f>=(2.04*D132+246.4)*(1.1*(G132+H132)+186)</f>
        <v>183352.848</v>
      </c>
      <c r="M132" s="15">
        <v>161</v>
      </c>
      <c r="N132" s="159" t="s">
        <v>56</v>
      </c>
      <c r="O132" s="154" t="s">
        <v>677</v>
      </c>
      <c r="P132" s="160" t="s"/>
      <c r="Q132" s="160" t="s"/>
      <c r="R132" s="160" t="s"/>
      <c r="S132" s="154" t="s">
        <v>678</v>
      </c>
    </row>
    <row r="133" spans="1:23" ht="13.55" customHeight="1">
      <c r="A133" s="154" t="s">
        <v>256</v>
      </c>
      <c r="B133" s="154" t="s">
        <v>257</v>
      </c>
      <c r="C133" s="154" t="s">
        <v>258</v>
      </c>
      <c r="D133" s="155">
        <v>129</v>
      </c>
      <c r="E133" s="155">
        <v>105</v>
      </c>
      <c r="F133" s="155">
        <v>42</v>
      </c>
      <c r="G133" s="155">
        <v>131</v>
      </c>
      <c r="H133" s="155">
        <v>99</v>
      </c>
      <c r="I133" s="156">
        <v>70</v>
      </c>
      <c r="J133" s="157">
        <f>=SUM(D133:I133)</f>
        <v>576</v>
      </c>
      <c r="K133" s="158">
        <f>=J133-MIN(E133,F133)</f>
        <v>534</v>
      </c>
      <c r="L133" s="129">
        <f>=(2.04*D133+246.4)*(1.1*(G133+H133)+186)</f>
        <v>223696.84</v>
      </c>
      <c r="M133" s="15">
        <v>162</v>
      </c>
      <c r="N133" s="159" t="s">
        <v>56</v>
      </c>
      <c r="O133" s="154" t="s">
        <v>259</v>
      </c>
      <c r="P133" s="160" t="s"/>
      <c r="Q133" s="160" t="s"/>
      <c r="R133" s="160" t="s"/>
      <c r="S133" s="154" t="s">
        <v>260</v>
      </c>
      <c r="T133" s="191" t="s"/>
      <c r="U133" s="191" t="s"/>
      <c r="V133" s="191" t="s"/>
      <c r="W133" s="191" t="s"/>
    </row>
    <row r="134" spans="1:19" ht="13.55" customHeight="1">
      <c r="A134" s="154" t="s">
        <v>311</v>
      </c>
      <c r="B134" s="154" t="s">
        <v>312</v>
      </c>
      <c r="C134" s="154" t="s">
        <v>212</v>
      </c>
      <c r="D134" s="155">
        <v>108</v>
      </c>
      <c r="E134" s="155">
        <v>132</v>
      </c>
      <c r="F134" s="155">
        <v>132</v>
      </c>
      <c r="G134" s="155">
        <v>92</v>
      </c>
      <c r="H134" s="155">
        <v>87</v>
      </c>
      <c r="I134" s="156">
        <v>110</v>
      </c>
      <c r="J134" s="157">
        <f>=SUM(D134:I134)</f>
        <v>661</v>
      </c>
      <c r="K134" s="158">
        <f>=J134-MIN(E134,F134)</f>
        <v>529</v>
      </c>
      <c r="L134" s="129">
        <f>=(2.04*D134+246.4)*(1.1*(G134+H134)+186)</f>
        <v>178707.088</v>
      </c>
      <c r="M134" s="220">
        <v>163</v>
      </c>
      <c r="N134" s="172" t="s">
        <v>56</v>
      </c>
      <c r="O134" s="154" t="s">
        <v>313</v>
      </c>
      <c r="P134" s="160" t="s"/>
      <c r="Q134" s="160" t="s"/>
      <c r="R134" s="160" t="s"/>
      <c r="S134" s="154" t="s">
        <v>314</v>
      </c>
    </row>
    <row r="135" spans="1:19" ht="13.55" customHeight="1">
      <c r="A135" s="154" t="s">
        <v>506</v>
      </c>
      <c r="B135" s="154" t="s">
        <v>507</v>
      </c>
      <c r="C135" s="154" t="s">
        <v>41</v>
      </c>
      <c r="D135" s="155">
        <v>119</v>
      </c>
      <c r="E135" s="155">
        <v>112</v>
      </c>
      <c r="F135" s="155">
        <v>119</v>
      </c>
      <c r="G135" s="155">
        <v>70</v>
      </c>
      <c r="H135" s="155">
        <v>92</v>
      </c>
      <c r="I135" s="156">
        <v>100</v>
      </c>
      <c r="J135" s="157">
        <f>=SUM(D135:I135)</f>
        <v>612</v>
      </c>
      <c r="K135" s="158">
        <f>=J135-MIN(E135,F135)</f>
        <v>500</v>
      </c>
      <c r="L135" s="129">
        <f>=(2.04*D135+246.4)*(1.1*(G135+H135)+186)</f>
        <v>178152.072</v>
      </c>
      <c r="M135" s="15">
        <v>164</v>
      </c>
      <c r="N135" s="159" t="s">
        <v>56</v>
      </c>
      <c r="O135" s="154" t="s">
        <v>508</v>
      </c>
      <c r="P135" s="160" t="s"/>
      <c r="Q135" s="160" t="s"/>
      <c r="R135" s="160" t="s"/>
      <c r="S135" s="154" t="s">
        <v>509</v>
      </c>
    </row>
    <row r="136" spans="1:40" s="257" customFormat="1" ht="13.55" customHeight="1">
      <c r="A136" s="154" t="s">
        <v>178</v>
      </c>
      <c r="B136" s="154" t="s">
        <v>179</v>
      </c>
      <c r="C136" s="154" t="s">
        <v>18</v>
      </c>
      <c r="D136" s="155">
        <v>103</v>
      </c>
      <c r="E136" s="155">
        <v>135</v>
      </c>
      <c r="F136" s="155">
        <v>54</v>
      </c>
      <c r="G136" s="155">
        <v>127</v>
      </c>
      <c r="H136" s="155">
        <v>101</v>
      </c>
      <c r="I136" s="156">
        <v>85</v>
      </c>
      <c r="J136" s="157">
        <f>=SUM(D136:I136)</f>
        <v>605</v>
      </c>
      <c r="K136" s="158">
        <f>=J136-MIN(E136,F136)</f>
        <v>551</v>
      </c>
      <c r="L136" s="129">
        <f>=(2.04*D136+246.4)*(1.1*(G136+H136)+186)</f>
        <v>199407.936</v>
      </c>
      <c r="M136" s="220">
        <v>167</v>
      </c>
      <c r="N136" s="172" t="s">
        <v>56</v>
      </c>
      <c r="O136" s="154" t="s">
        <v>180</v>
      </c>
      <c r="P136" s="160" t="s"/>
      <c r="Q136" s="160" t="s"/>
      <c r="R136" s="160" t="s"/>
      <c r="S136" s="154" t="s">
        <v>181</v>
      </c>
      <c r="AA136" s="174" t="s"/>
      <c r="AB136" s="174" t="s"/>
      <c r="AC136" s="174" t="s"/>
      <c r="AD136" s="174" t="s"/>
      <c r="AE136" s="174" t="s"/>
      <c r="AF136" s="174" t="s"/>
      <c r="AG136" s="174" t="s"/>
      <c r="AH136" s="174" t="s"/>
      <c r="AI136" s="174" t="s"/>
      <c r="AJ136" s="174" t="s"/>
      <c r="AK136" s="174" t="s"/>
      <c r="AL136" s="174" t="s"/>
      <c r="AM136" s="174" t="s"/>
      <c r="AN136" s="174" t="s"/>
    </row>
    <row r="137" spans="1:23" ht="13.55" customHeight="1">
      <c r="A137" s="154" t="s">
        <v>371</v>
      </c>
      <c r="B137" s="154" t="s">
        <v>372</v>
      </c>
      <c r="C137" s="154" t="s">
        <v>212</v>
      </c>
      <c r="D137" s="155">
        <v>121</v>
      </c>
      <c r="E137" s="155">
        <v>144</v>
      </c>
      <c r="F137" s="155">
        <v>58</v>
      </c>
      <c r="G137" s="155">
        <v>92</v>
      </c>
      <c r="H137" s="155">
        <v>70</v>
      </c>
      <c r="I137" s="156">
        <v>95</v>
      </c>
      <c r="J137" s="157">
        <f>=SUM(D137:I137)</f>
        <v>580</v>
      </c>
      <c r="K137" s="158">
        <f>=J137-MIN(E137,F137)</f>
        <v>522</v>
      </c>
      <c r="L137" s="129">
        <f>=(2.04*D137+246.4)*(1.1*(G137+H137)+186)</f>
        <v>179638.008</v>
      </c>
      <c r="M137" s="220">
        <v>168</v>
      </c>
      <c r="N137" s="172" t="s">
        <v>56</v>
      </c>
      <c r="O137" s="154" t="s">
        <v>373</v>
      </c>
      <c r="P137" s="160" t="s"/>
      <c r="Q137" s="160" t="s"/>
      <c r="R137" s="160" t="s"/>
      <c r="S137" s="154" t="s">
        <v>374</v>
      </c>
      <c r="T137" s="177" t="s"/>
      <c r="U137" s="177" t="s"/>
      <c r="V137" s="177" t="s"/>
      <c r="W137" s="177" t="s"/>
    </row>
    <row r="138" spans="1:19" ht="13.55" customHeight="1">
      <c r="A138" s="154" t="s">
        <v>344</v>
      </c>
      <c r="B138" s="154" t="s">
        <v>345</v>
      </c>
      <c r="C138" s="154" t="s">
        <v>276</v>
      </c>
      <c r="D138" s="155">
        <v>111</v>
      </c>
      <c r="E138" s="155">
        <v>123</v>
      </c>
      <c r="F138" s="155">
        <v>117</v>
      </c>
      <c r="G138" s="155">
        <v>129</v>
      </c>
      <c r="H138" s="155">
        <v>97</v>
      </c>
      <c r="I138" s="156">
        <v>65</v>
      </c>
      <c r="J138" s="157">
        <f>=SUM(D138:I138)</f>
        <v>642</v>
      </c>
      <c r="K138" s="158">
        <f>=J138-MIN(E138,F138)</f>
        <v>525</v>
      </c>
      <c r="L138" s="129">
        <f>=(2.04*D138+246.4)*(1.1*(G138+H138)+186)</f>
        <v>205496.264</v>
      </c>
      <c r="M138" s="15">
        <v>170</v>
      </c>
      <c r="N138" s="159" t="s">
        <v>56</v>
      </c>
      <c r="O138" s="154" t="s">
        <v>346</v>
      </c>
      <c r="P138" s="160" t="s"/>
      <c r="Q138" s="160" t="s"/>
      <c r="R138" s="160" t="s"/>
      <c r="S138" s="154" t="s">
        <v>347</v>
      </c>
    </row>
    <row r="139" spans="1:23" ht="13.55" customHeight="1">
      <c r="A139" s="154" t="s">
        <v>93</v>
      </c>
      <c r="B139" s="154" t="s">
        <v>94</v>
      </c>
      <c r="C139" s="154" t="s">
        <v>95</v>
      </c>
      <c r="D139" s="155">
        <v>101</v>
      </c>
      <c r="E139" s="155">
        <v>53</v>
      </c>
      <c r="F139" s="155">
        <v>131</v>
      </c>
      <c r="G139" s="155">
        <v>94</v>
      </c>
      <c r="H139" s="155">
        <v>120</v>
      </c>
      <c r="I139" s="156">
        <v>120</v>
      </c>
      <c r="J139" s="157">
        <f>=SUM(D139:I139)</f>
        <v>619</v>
      </c>
      <c r="K139" s="158">
        <f>=J139-MIN(E139,F139)</f>
        <v>566</v>
      </c>
      <c r="L139" s="129">
        <f>=(2.04*D139+246.4)*(1.1*(G139+H139)+186)</f>
        <v>190658.216</v>
      </c>
      <c r="M139" s="220">
        <v>172</v>
      </c>
      <c r="N139" s="172" t="s">
        <v>56</v>
      </c>
      <c r="O139" s="154" t="s">
        <v>96</v>
      </c>
      <c r="P139" s="160" t="s"/>
      <c r="Q139" s="160" t="s"/>
      <c r="R139" s="160" t="s"/>
      <c r="S139" s="154" t="s">
        <v>97</v>
      </c>
      <c r="T139" s="175" t="s"/>
      <c r="U139" s="175" t="s"/>
      <c r="V139" s="175" t="s"/>
      <c r="W139" s="175" t="s"/>
    </row>
    <row r="140" spans="1:23" ht="13.55" customHeight="1">
      <c r="A140" s="154" t="s">
        <v>412</v>
      </c>
      <c r="B140" s="154" t="s">
        <v>413</v>
      </c>
      <c r="C140" s="154" t="s">
        <v>46</v>
      </c>
      <c r="D140" s="155">
        <v>90</v>
      </c>
      <c r="E140" s="155">
        <v>46</v>
      </c>
      <c r="F140" s="155">
        <v>116</v>
      </c>
      <c r="G140" s="155">
        <v>84</v>
      </c>
      <c r="H140" s="155">
        <v>112</v>
      </c>
      <c r="I140" s="156">
        <v>115</v>
      </c>
      <c r="J140" s="157">
        <f>=SUM(D140:I140)</f>
        <v>563</v>
      </c>
      <c r="K140" s="158">
        <f>=J140-MIN(E140,F140)</f>
        <v>517</v>
      </c>
      <c r="L140" s="129">
        <f>=(2.04*D140+246.4)*(1.1*(G140+H140)+186)</f>
        <v>172688</v>
      </c>
      <c r="M140" s="15">
        <v>183</v>
      </c>
      <c r="N140" s="159" t="s">
        <v>56</v>
      </c>
      <c r="O140" s="154" t="s">
        <v>414</v>
      </c>
      <c r="P140" s="160" t="s"/>
      <c r="Q140" s="160" t="s"/>
      <c r="R140" s="160" t="s"/>
      <c r="S140" s="154" t="s">
        <v>415</v>
      </c>
      <c r="T140" s="175" t="s"/>
      <c r="U140" s="175" t="s"/>
      <c r="V140" s="175" t="s"/>
      <c r="W140" s="175" t="s"/>
    </row>
    <row r="141" spans="1:19" ht="13.55" customHeight="1">
      <c r="A141" s="154" t="s">
        <v>711</v>
      </c>
      <c r="B141" s="154" t="s">
        <v>712</v>
      </c>
      <c r="C141" s="154" t="s">
        <v>360</v>
      </c>
      <c r="D141" s="155">
        <v>106</v>
      </c>
      <c r="E141" s="155">
        <v>96</v>
      </c>
      <c r="F141" s="155">
        <v>96</v>
      </c>
      <c r="G141" s="155">
        <v>94</v>
      </c>
      <c r="H141" s="155">
        <v>99</v>
      </c>
      <c r="I141" s="156">
        <v>55</v>
      </c>
      <c r="J141" s="157">
        <f>=SUM(D141:I141)</f>
        <v>546</v>
      </c>
      <c r="K141" s="158">
        <f>=J141-MIN(E141,F141)</f>
        <v>450</v>
      </c>
      <c r="L141" s="129">
        <f>=(2.04*D141+246.4)*(1.1*(G141+H141)+186)</f>
        <v>184269.512</v>
      </c>
      <c r="M141" s="15">
        <v>185</v>
      </c>
      <c r="N141" s="159" t="s">
        <v>56</v>
      </c>
      <c r="O141" s="154" t="s">
        <v>713</v>
      </c>
      <c r="P141" s="160" t="s"/>
      <c r="Q141" s="160" t="s"/>
      <c r="R141" s="160" t="s"/>
      <c r="S141" s="154" t="s">
        <v>714</v>
      </c>
    </row>
    <row r="142" spans="1:23" ht="13.55" customHeight="1">
      <c r="A142" s="154" t="s">
        <v>416</v>
      </c>
      <c r="B142" s="154" t="s">
        <v>417</v>
      </c>
      <c r="C142" s="154" t="s">
        <v>418</v>
      </c>
      <c r="D142" s="155">
        <v>87</v>
      </c>
      <c r="E142" s="155">
        <v>113</v>
      </c>
      <c r="F142" s="155">
        <v>34</v>
      </c>
      <c r="G142" s="155">
        <v>94</v>
      </c>
      <c r="H142" s="155">
        <v>88</v>
      </c>
      <c r="I142" s="156">
        <v>135</v>
      </c>
      <c r="J142" s="157">
        <f>=SUM(D142:I142)</f>
        <v>551</v>
      </c>
      <c r="K142" s="158">
        <f>=J142-MIN(E142,F142)</f>
        <v>517</v>
      </c>
      <c r="L142" s="129">
        <f>=(2.04*D142+246.4)*(1.1*(G142+H142)+186)</f>
        <v>163702.456</v>
      </c>
      <c r="M142" s="220">
        <v>189</v>
      </c>
      <c r="N142" s="172" t="s">
        <v>56</v>
      </c>
      <c r="O142" s="154" t="s">
        <v>419</v>
      </c>
      <c r="P142" s="160" t="s"/>
      <c r="Q142" s="160" t="s"/>
      <c r="R142" s="160" t="s"/>
      <c r="S142" s="154" t="s">
        <v>420</v>
      </c>
      <c r="T142" s="178" t="s"/>
      <c r="U142" s="178" t="s"/>
      <c r="V142" s="178" t="s"/>
      <c r="W142" s="178" t="s"/>
    </row>
    <row r="143" spans="1:40" s="254" customFormat="1" ht="13.55" customHeight="1">
      <c r="A143" s="154" t="s">
        <v>384</v>
      </c>
      <c r="B143" s="154" t="s">
        <v>385</v>
      </c>
      <c r="C143" s="154" t="s">
        <v>386</v>
      </c>
      <c r="D143" s="155">
        <v>106</v>
      </c>
      <c r="E143" s="155">
        <v>90</v>
      </c>
      <c r="F143" s="155">
        <v>95</v>
      </c>
      <c r="G143" s="155">
        <v>115</v>
      </c>
      <c r="H143" s="155">
        <v>119</v>
      </c>
      <c r="I143" s="156">
        <v>85</v>
      </c>
      <c r="J143" s="157">
        <f>=SUM(D143:I143)</f>
        <v>610</v>
      </c>
      <c r="K143" s="158">
        <f>=J143-MIN(E143,F143)</f>
        <v>520</v>
      </c>
      <c r="L143" s="129">
        <f>=(2.04*D143+246.4)*(1.1*(G143+H143)+186)</f>
        <v>205134.576</v>
      </c>
      <c r="M143" s="15">
        <v>190</v>
      </c>
      <c r="N143" s="159" t="s">
        <v>56</v>
      </c>
      <c r="O143" s="154" t="s">
        <v>387</v>
      </c>
      <c r="P143" s="160" t="s"/>
      <c r="Q143" s="160" t="s"/>
      <c r="R143" s="160" t="s"/>
      <c r="S143" s="154" t="s">
        <v>388</v>
      </c>
      <c r="AA143" s="171" t="s"/>
      <c r="AB143" s="171" t="s"/>
      <c r="AC143" s="171" t="s"/>
      <c r="AD143" s="171" t="s"/>
      <c r="AE143" s="171" t="s"/>
      <c r="AF143" s="171" t="s"/>
      <c r="AG143" s="171" t="s"/>
      <c r="AH143" s="171" t="s"/>
      <c r="AI143" s="171" t="s"/>
      <c r="AJ143" s="171" t="s"/>
      <c r="AK143" s="171" t="s"/>
      <c r="AL143" s="171" t="s"/>
      <c r="AM143" s="171" t="s"/>
      <c r="AN143" s="171" t="s"/>
    </row>
    <row r="144" spans="1:19" ht="13.55" hidden="1" customHeight="1">
      <c r="A144" s="38" t="s">
        <v>657</v>
      </c>
      <c r="B144" s="38" t="s">
        <v>658</v>
      </c>
      <c r="C144" s="38" t="s">
        <v>80</v>
      </c>
      <c r="D144" s="39">
        <v>104</v>
      </c>
      <c r="E144" s="39">
        <v>102</v>
      </c>
      <c r="F144" s="39">
        <v>46</v>
      </c>
      <c r="G144" s="39">
        <v>105</v>
      </c>
      <c r="H144" s="39">
        <v>70</v>
      </c>
      <c r="I144" s="39">
        <v>80</v>
      </c>
      <c r="J144" s="40">
        <f>=SUM(D144:I144)</f>
        <v>507</v>
      </c>
      <c r="K144" s="17">
        <f>=J144-MIN(E144,F144)</f>
        <v>461</v>
      </c>
      <c r="L144" s="41">
        <f>=(2.04*D144+246.4)*(1.1*(G144+H144)+186)</f>
        <v>173564.96</v>
      </c>
      <c r="M144" s="76" t="s"/>
      <c r="N144" s="76" t="s">
        <v>61</v>
      </c>
      <c r="O144" s="38" t="s">
        <v>81</v>
      </c>
      <c r="P144" s="121" t="s"/>
      <c r="Q144" s="121" t="s"/>
      <c r="R144" s="121" t="s"/>
      <c r="S144" s="38" t="s">
        <v>659</v>
      </c>
    </row>
    <row r="145" spans="1:19" ht="13.55" hidden="1" customHeight="1">
      <c r="A145" s="38" t="s">
        <v>660</v>
      </c>
      <c r="B145" s="38" t="s">
        <v>661</v>
      </c>
      <c r="C145" s="38" t="s">
        <v>70</v>
      </c>
      <c r="D145" s="39">
        <v>84</v>
      </c>
      <c r="E145" s="39">
        <v>111</v>
      </c>
      <c r="F145" s="39">
        <v>46</v>
      </c>
      <c r="G145" s="39">
        <v>102</v>
      </c>
      <c r="H145" s="39">
        <v>80</v>
      </c>
      <c r="I145" s="39">
        <v>84</v>
      </c>
      <c r="J145" s="40">
        <f>=SUM(D145:I145)</f>
        <v>507</v>
      </c>
      <c r="K145" s="17">
        <f>=J145-MIN(E145,F145)</f>
        <v>461</v>
      </c>
      <c r="L145" s="41">
        <f>=(2.04*D145+246.4)*(1.1*(G145+H145)+186)</f>
        <v>161338.912</v>
      </c>
      <c r="M145" s="42" t="s"/>
      <c r="N145" s="42" t="s">
        <v>61</v>
      </c>
      <c r="O145" s="38" t="s">
        <v>71</v>
      </c>
      <c r="P145" s="121" t="s"/>
      <c r="Q145" s="121" t="s"/>
      <c r="R145" s="121" t="s"/>
      <c r="S145" s="38" t="s">
        <v>662</v>
      </c>
    </row>
    <row r="146" spans="1:19" ht="13.55" customHeight="1">
      <c r="A146" s="154" t="s">
        <v>197</v>
      </c>
      <c r="B146" s="154" t="s">
        <v>198</v>
      </c>
      <c r="C146" s="154" t="s">
        <v>125</v>
      </c>
      <c r="D146" s="155">
        <v>129</v>
      </c>
      <c r="E146" s="155">
        <v>40</v>
      </c>
      <c r="F146" s="155">
        <v>115</v>
      </c>
      <c r="G146" s="155">
        <v>119</v>
      </c>
      <c r="H146" s="155">
        <v>135</v>
      </c>
      <c r="I146" s="156">
        <v>50</v>
      </c>
      <c r="J146" s="157">
        <f>=SUM(D146:I146)</f>
        <v>588</v>
      </c>
      <c r="K146" s="158">
        <f>=J146-MIN(E146,F146)</f>
        <v>548</v>
      </c>
      <c r="L146" s="129">
        <f>=(2.04*D146+246.4)*(1.1*(G146+H146)+186)</f>
        <v>237149.224</v>
      </c>
      <c r="M146" s="15">
        <v>191</v>
      </c>
      <c r="N146" s="159" t="s">
        <v>56</v>
      </c>
      <c r="O146" s="154" t="s">
        <v>199</v>
      </c>
      <c r="P146" s="160" t="s"/>
      <c r="Q146" s="160" t="s"/>
      <c r="R146" s="160" t="s"/>
      <c r="S146" s="154" t="s">
        <v>200</v>
      </c>
    </row>
    <row r="147" spans="1:19" ht="13.55" customHeight="1">
      <c r="A147" s="154" t="s">
        <v>631</v>
      </c>
      <c r="B147" s="154" t="s">
        <v>632</v>
      </c>
      <c r="C147" s="154" t="s">
        <v>633</v>
      </c>
      <c r="D147" s="155">
        <v>100</v>
      </c>
      <c r="E147" s="155">
        <v>107</v>
      </c>
      <c r="F147" s="155">
        <v>110</v>
      </c>
      <c r="G147" s="155">
        <v>73</v>
      </c>
      <c r="H147" s="155">
        <v>105</v>
      </c>
      <c r="I147" s="156">
        <v>85</v>
      </c>
      <c r="J147" s="157">
        <f>=SUM(D147:I147)</f>
        <v>580</v>
      </c>
      <c r="K147" s="158">
        <f>=J147-MIN(E147,F147)</f>
        <v>473</v>
      </c>
      <c r="L147" s="129">
        <f>=(2.04*D147+246.4)*(1.1*(G147+H147)+186)</f>
        <v>171962.72</v>
      </c>
      <c r="M147" s="15">
        <v>193</v>
      </c>
      <c r="N147" s="159" t="s">
        <v>56</v>
      </c>
      <c r="O147" s="154" t="s">
        <v>634</v>
      </c>
      <c r="P147" s="160" t="s"/>
      <c r="Q147" s="160" t="s"/>
      <c r="R147" s="160" t="s"/>
      <c r="S147" s="154" t="s">
        <v>635</v>
      </c>
    </row>
    <row r="148" spans="1:19" ht="13.55" hidden="1" customHeight="1">
      <c r="A148" s="38" t="s">
        <v>672</v>
      </c>
      <c r="B148" s="38" t="s">
        <v>673</v>
      </c>
      <c r="C148" s="38" t="s">
        <v>65</v>
      </c>
      <c r="D148" s="39">
        <v>105</v>
      </c>
      <c r="E148" s="39">
        <v>87</v>
      </c>
      <c r="F148" s="39">
        <v>87</v>
      </c>
      <c r="G148" s="39">
        <v>102</v>
      </c>
      <c r="H148" s="39">
        <v>66</v>
      </c>
      <c r="I148" s="39">
        <v>100</v>
      </c>
      <c r="J148" s="40">
        <f>=SUM(D148:I148)</f>
        <v>547</v>
      </c>
      <c r="K148" s="17">
        <f>=J148-MIN(E148,F148)</f>
        <v>460</v>
      </c>
      <c r="L148" s="41">
        <f>=(2.04*D148+246.4)*(1.1*(G148+H148)+186)</f>
        <v>170790.48</v>
      </c>
      <c r="M148" s="76" t="s"/>
      <c r="N148" s="76" t="s">
        <v>61</v>
      </c>
      <c r="O148" s="38" t="s">
        <v>66</v>
      </c>
      <c r="P148" s="121" t="s"/>
      <c r="Q148" s="121" t="s"/>
      <c r="R148" s="121" t="s"/>
      <c r="S148" s="38" t="s">
        <v>674</v>
      </c>
    </row>
    <row r="149" spans="1:19" ht="13.55" customHeight="1">
      <c r="A149" s="154" t="s">
        <v>265</v>
      </c>
      <c r="B149" s="154" t="s">
        <v>266</v>
      </c>
      <c r="C149" s="154" t="s">
        <v>267</v>
      </c>
      <c r="D149" s="155">
        <v>134</v>
      </c>
      <c r="E149" s="155">
        <v>158</v>
      </c>
      <c r="F149" s="155">
        <v>82</v>
      </c>
      <c r="G149" s="155">
        <v>116</v>
      </c>
      <c r="H149" s="155">
        <v>70</v>
      </c>
      <c r="I149" s="156">
        <v>55</v>
      </c>
      <c r="J149" s="157">
        <f>=SUM(D149:I149)</f>
        <v>615</v>
      </c>
      <c r="K149" s="158">
        <f>=J149-MIN(E149,F149)</f>
        <v>533</v>
      </c>
      <c r="L149" s="129">
        <f>=(2.04*D149+246.4)*(1.1*(G149+H149)+186)</f>
        <v>203018.256</v>
      </c>
      <c r="M149" s="220">
        <v>196</v>
      </c>
      <c r="N149" s="172" t="s">
        <v>56</v>
      </c>
      <c r="O149" s="154" t="s">
        <v>268</v>
      </c>
      <c r="P149" s="160" t="s"/>
      <c r="Q149" s="160" t="s"/>
      <c r="R149" s="160" t="s"/>
      <c r="S149" s="154" t="s">
        <v>269</v>
      </c>
    </row>
    <row r="150" spans="1:19" ht="13.55" hidden="1" customHeight="1">
      <c r="A150" s="38" t="s">
        <v>679</v>
      </c>
      <c r="B150" s="38" t="s">
        <v>680</v>
      </c>
      <c r="C150" s="38" t="s">
        <v>90</v>
      </c>
      <c r="D150" s="39">
        <v>100</v>
      </c>
      <c r="E150" s="39">
        <v>76</v>
      </c>
      <c r="F150" s="39">
        <v>69</v>
      </c>
      <c r="G150" s="39">
        <v>110</v>
      </c>
      <c r="H150" s="39">
        <v>78</v>
      </c>
      <c r="I150" s="39">
        <v>92</v>
      </c>
      <c r="J150" s="40">
        <f>=SUM(D150:I150)</f>
        <v>525</v>
      </c>
      <c r="K150" s="17">
        <f>=J150-MIN(E150,F150)</f>
        <v>456</v>
      </c>
      <c r="L150" s="41">
        <f>=(2.04*D150+246.4)*(1.1*(G150+H150)+186)</f>
        <v>176917.12</v>
      </c>
      <c r="M150" s="76" t="s"/>
      <c r="N150" s="76" t="s">
        <v>61</v>
      </c>
      <c r="O150" s="38" t="s">
        <v>91</v>
      </c>
      <c r="P150" s="121" t="s"/>
      <c r="Q150" s="121" t="s"/>
      <c r="R150" s="121" t="s"/>
      <c r="S150" s="38" t="s">
        <v>681</v>
      </c>
    </row>
    <row r="151" spans="1:19" ht="13.55" hidden="1" customHeight="1">
      <c r="A151" s="38" t="s">
        <v>682</v>
      </c>
      <c r="B151" s="38" t="s">
        <v>683</v>
      </c>
      <c r="C151" s="38" t="s">
        <v>85</v>
      </c>
      <c r="D151" s="39">
        <v>121</v>
      </c>
      <c r="E151" s="39">
        <v>72</v>
      </c>
      <c r="F151" s="39">
        <v>130</v>
      </c>
      <c r="G151" s="39">
        <v>54</v>
      </c>
      <c r="H151" s="39">
        <v>95</v>
      </c>
      <c r="I151" s="39">
        <v>56</v>
      </c>
      <c r="J151" s="40">
        <f>=SUM(D151:I151)</f>
        <v>528</v>
      </c>
      <c r="K151" s="17">
        <f>=J151-MIN(E151,F151)</f>
        <v>456</v>
      </c>
      <c r="L151" s="41">
        <f>=(2.04*D151+246.4)*(1.1*(G151+H151)+186)</f>
        <v>172584.676</v>
      </c>
      <c r="M151" s="76" t="s"/>
      <c r="N151" s="76" t="s">
        <v>61</v>
      </c>
      <c r="O151" s="38" t="s">
        <v>86</v>
      </c>
      <c r="P151" s="121" t="s"/>
      <c r="Q151" s="121" t="s"/>
      <c r="R151" s="121" t="s"/>
      <c r="S151" s="38" t="s">
        <v>684</v>
      </c>
    </row>
    <row r="152" spans="1:19" ht="13.55" hidden="1" customHeight="1">
      <c r="A152" s="38" t="s">
        <v>685</v>
      </c>
      <c r="B152" s="38" t="s">
        <v>686</v>
      </c>
      <c r="C152" s="38" t="s">
        <v>36</v>
      </c>
      <c r="D152" s="39">
        <v>67</v>
      </c>
      <c r="E152" s="39">
        <v>56</v>
      </c>
      <c r="F152" s="39">
        <v>129</v>
      </c>
      <c r="G152" s="39">
        <v>70</v>
      </c>
      <c r="H152" s="39">
        <v>89</v>
      </c>
      <c r="I152" s="39">
        <v>100</v>
      </c>
      <c r="J152" s="40">
        <f>=SUM(D152:I152)</f>
        <v>511</v>
      </c>
      <c r="K152" s="17">
        <f>=J152-MIN(E152,F152)</f>
        <v>455</v>
      </c>
      <c r="L152" s="41">
        <f>=(2.04*D152+246.4)*(1.1*(G152+H152)+186)</f>
        <v>138253.572</v>
      </c>
      <c r="M152" s="42" t="s"/>
      <c r="N152" s="42" t="s">
        <v>61</v>
      </c>
      <c r="O152" s="38" t="s">
        <v>670</v>
      </c>
      <c r="P152" s="121" t="s"/>
      <c r="Q152" s="121" t="s"/>
      <c r="R152" s="121" t="s"/>
      <c r="S152" s="38" t="s">
        <v>687</v>
      </c>
    </row>
    <row r="153" spans="1:19" ht="13.55" customHeight="1">
      <c r="A153" s="154" t="s">
        <v>348</v>
      </c>
      <c r="B153" s="154" t="s">
        <v>349</v>
      </c>
      <c r="C153" s="154" t="s">
        <v>350</v>
      </c>
      <c r="D153" s="155">
        <v>92</v>
      </c>
      <c r="E153" s="155">
        <v>132</v>
      </c>
      <c r="F153" s="155">
        <v>126</v>
      </c>
      <c r="G153" s="155">
        <v>111</v>
      </c>
      <c r="H153" s="155">
        <v>95</v>
      </c>
      <c r="I153" s="156">
        <v>95</v>
      </c>
      <c r="J153" s="157">
        <f>=SUM(D153:I153)</f>
        <v>651</v>
      </c>
      <c r="K153" s="158">
        <f>=J153-MIN(E153,F153)</f>
        <v>525</v>
      </c>
      <c r="L153" s="129">
        <f>=(2.04*D153+246.4)*(1.1*(G153+H153)+186)</f>
        <v>179101.408</v>
      </c>
      <c r="M153" s="15">
        <v>197</v>
      </c>
      <c r="N153" s="159" t="s">
        <v>56</v>
      </c>
      <c r="O153" s="154" t="s">
        <v>351</v>
      </c>
      <c r="P153" s="160" t="s"/>
      <c r="Q153" s="160" t="s"/>
      <c r="R153" s="160" t="s"/>
      <c r="S153" s="154" t="s">
        <v>352</v>
      </c>
    </row>
    <row r="154" spans="1:19" ht="13.55" hidden="1" customHeight="1">
      <c r="A154" s="38" t="s">
        <v>692</v>
      </c>
      <c r="B154" s="38" t="s">
        <v>693</v>
      </c>
      <c r="C154" s="38" t="s">
        <v>85</v>
      </c>
      <c r="D154" s="39">
        <v>81</v>
      </c>
      <c r="E154" s="39">
        <v>42</v>
      </c>
      <c r="F154" s="39">
        <v>104</v>
      </c>
      <c r="G154" s="39">
        <v>75</v>
      </c>
      <c r="H154" s="39">
        <v>96</v>
      </c>
      <c r="I154" s="39">
        <v>96</v>
      </c>
      <c r="J154" s="40">
        <f>=SUM(D154:I154)</f>
        <v>494</v>
      </c>
      <c r="K154" s="17">
        <f>=J154-MIN(E154,F154)</f>
        <v>452</v>
      </c>
      <c r="L154" s="41">
        <f>=(2.04*D154+246.4)*(1.1*(G154+H154)+186)</f>
        <v>153994.524</v>
      </c>
      <c r="M154" s="76" t="s"/>
      <c r="N154" s="76" t="s">
        <v>61</v>
      </c>
      <c r="O154" s="38" t="s">
        <v>96</v>
      </c>
      <c r="P154" s="121" t="s"/>
      <c r="Q154" s="121" t="s"/>
      <c r="R154" s="121" t="s"/>
      <c r="S154" s="38" t="s">
        <v>694</v>
      </c>
    </row>
    <row r="155" spans="1:19" ht="13.55" hidden="1" customHeight="1">
      <c r="A155" s="38" t="s">
        <v>695</v>
      </c>
      <c r="B155" s="38" t="s">
        <v>696</v>
      </c>
      <c r="C155" s="38" t="s">
        <v>100</v>
      </c>
      <c r="D155" s="39">
        <v>105</v>
      </c>
      <c r="E155" s="39">
        <v>61</v>
      </c>
      <c r="F155" s="39">
        <v>104</v>
      </c>
      <c r="G155" s="39">
        <v>68</v>
      </c>
      <c r="H155" s="39">
        <v>130</v>
      </c>
      <c r="I155" s="39">
        <v>44</v>
      </c>
      <c r="J155" s="40">
        <f>=SUM(D155:I155)</f>
        <v>512</v>
      </c>
      <c r="K155" s="17">
        <f>=J155-MIN(E155,F155)</f>
        <v>451</v>
      </c>
      <c r="L155" s="41">
        <f>=(2.04*D155+246.4)*(1.1*(G155+H155)+186)</f>
        <v>185990.28</v>
      </c>
      <c r="M155" s="42" t="s"/>
      <c r="N155" s="42" t="s">
        <v>61</v>
      </c>
      <c r="O155" s="38" t="s">
        <v>101</v>
      </c>
      <c r="P155" s="121" t="s"/>
      <c r="Q155" s="121" t="s"/>
      <c r="R155" s="121" t="s"/>
      <c r="S155" s="38" t="s">
        <v>697</v>
      </c>
    </row>
    <row r="156" spans="1:40" s="254" customFormat="1" ht="13.55" hidden="1" customHeight="1">
      <c r="A156" s="38" t="s">
        <v>698</v>
      </c>
      <c r="B156" s="38" t="s">
        <v>699</v>
      </c>
      <c r="C156" s="38" t="s">
        <v>125</v>
      </c>
      <c r="D156" s="39">
        <v>100</v>
      </c>
      <c r="E156" s="39">
        <v>46</v>
      </c>
      <c r="F156" s="39">
        <v>102</v>
      </c>
      <c r="G156" s="39">
        <v>75</v>
      </c>
      <c r="H156" s="39">
        <v>106</v>
      </c>
      <c r="I156" s="39">
        <v>68</v>
      </c>
      <c r="J156" s="40">
        <f>=SUM(D156:I156)</f>
        <v>497</v>
      </c>
      <c r="K156" s="17">
        <f>=J156-MIN(E156,F156)</f>
        <v>451</v>
      </c>
      <c r="L156" s="41">
        <f>=(2.04*D156+246.4)*(1.1*(G156+H156)+186)</f>
        <v>173449.04</v>
      </c>
      <c r="M156" s="76" t="s"/>
      <c r="N156" s="76" t="s">
        <v>61</v>
      </c>
      <c r="O156" s="38" t="s">
        <v>126</v>
      </c>
      <c r="P156" s="121" t="s"/>
      <c r="Q156" s="121" t="s"/>
      <c r="R156" s="121" t="s"/>
      <c r="S156" s="38" t="s">
        <v>700</v>
      </c>
      <c r="T156" s="43" t="s"/>
      <c r="U156" s="43" t="s"/>
      <c r="V156" s="43" t="s"/>
      <c r="W156" s="43" t="s"/>
      <c r="AA156" s="44" t="s"/>
      <c r="AB156" s="44" t="s"/>
      <c r="AC156" s="44" t="s"/>
      <c r="AD156" s="44" t="s"/>
      <c r="AE156" s="44" t="s"/>
      <c r="AF156" s="44" t="s"/>
      <c r="AG156" s="44" t="s"/>
      <c r="AH156" s="44" t="s"/>
      <c r="AI156" s="44" t="s"/>
      <c r="AJ156" s="44" t="s"/>
      <c r="AK156" s="44" t="s"/>
      <c r="AL156" s="44" t="s"/>
      <c r="AM156" s="44" t="s"/>
      <c r="AN156" s="44" t="s"/>
    </row>
    <row r="157" spans="1:19" ht="13.55" customHeight="1">
      <c r="A157" s="154" t="s">
        <v>645</v>
      </c>
      <c r="B157" s="154" t="s">
        <v>646</v>
      </c>
      <c r="C157" s="154" t="s">
        <v>65</v>
      </c>
      <c r="D157" s="155">
        <v>94</v>
      </c>
      <c r="E157" s="155">
        <v>63</v>
      </c>
      <c r="F157" s="155">
        <v>63</v>
      </c>
      <c r="G157" s="155">
        <v>112</v>
      </c>
      <c r="H157" s="155">
        <v>87</v>
      </c>
      <c r="I157" s="156">
        <v>115</v>
      </c>
      <c r="J157" s="157">
        <f>=SUM(D157:I157)</f>
        <v>534</v>
      </c>
      <c r="K157" s="158">
        <f>=J157-MIN(E157,F157)</f>
        <v>471</v>
      </c>
      <c r="L157" s="129">
        <f>=(2.04*D157+246.4)*(1.1*(G157+H157)+186)</f>
        <v>177410.984</v>
      </c>
      <c r="M157" s="15">
        <v>198</v>
      </c>
      <c r="N157" s="159" t="s">
        <v>56</v>
      </c>
      <c r="O157" s="154" t="s">
        <v>647</v>
      </c>
      <c r="P157" s="160" t="s"/>
      <c r="Q157" s="160" t="s"/>
      <c r="R157" s="160" t="s"/>
      <c r="S157" s="154" t="s">
        <v>648</v>
      </c>
    </row>
    <row r="158" spans="1:19" ht="13.55" hidden="1" customHeight="1">
      <c r="A158" s="38" t="s">
        <v>705</v>
      </c>
      <c r="B158" s="38" t="s">
        <v>706</v>
      </c>
      <c r="C158" s="38" t="s">
        <v>130</v>
      </c>
      <c r="D158" s="39">
        <v>80</v>
      </c>
      <c r="E158" s="39">
        <v>63</v>
      </c>
      <c r="F158" s="39">
        <v>119</v>
      </c>
      <c r="G158" s="39">
        <v>58</v>
      </c>
      <c r="H158" s="39">
        <v>102</v>
      </c>
      <c r="I158" s="39">
        <v>92</v>
      </c>
      <c r="J158" s="40">
        <f>=SUM(D158:I158)</f>
        <v>514</v>
      </c>
      <c r="K158" s="17">
        <f>=J158-MIN(E158,F158)</f>
        <v>451</v>
      </c>
      <c r="L158" s="41">
        <f>=(2.04*D158+246.4)*(1.1*(G158+H158)+186)</f>
        <v>148275.2</v>
      </c>
      <c r="M158" s="42" t="s"/>
      <c r="N158" s="42" t="s">
        <v>61</v>
      </c>
      <c r="O158" s="38" t="s">
        <v>131</v>
      </c>
      <c r="P158" s="121" t="s"/>
      <c r="Q158" s="121" t="s"/>
      <c r="R158" s="121" t="s"/>
      <c r="S158" s="38" t="s">
        <v>707</v>
      </c>
    </row>
    <row r="159" spans="1:19" ht="13.55" hidden="1" customHeight="1">
      <c r="A159" s="38" t="s">
        <v>708</v>
      </c>
      <c r="B159" s="38" t="s">
        <v>709</v>
      </c>
      <c r="C159" s="38" t="s">
        <v>139</v>
      </c>
      <c r="D159" s="39">
        <v>81</v>
      </c>
      <c r="E159" s="39">
        <v>35</v>
      </c>
      <c r="F159" s="39">
        <v>89</v>
      </c>
      <c r="G159" s="39">
        <v>84</v>
      </c>
      <c r="H159" s="39">
        <v>104</v>
      </c>
      <c r="I159" s="39">
        <v>92</v>
      </c>
      <c r="J159" s="40">
        <f>=SUM(D159:I159)</f>
        <v>485</v>
      </c>
      <c r="K159" s="17">
        <f>=J159-MIN(E159,F159)</f>
        <v>450</v>
      </c>
      <c r="L159" s="41">
        <f>=(2.04*D159+246.4)*(1.1*(G159+H159)+186)</f>
        <v>161692.192</v>
      </c>
      <c r="M159" s="76" t="s"/>
      <c r="N159" s="76" t="s">
        <v>61</v>
      </c>
      <c r="O159" s="38" t="s">
        <v>140</v>
      </c>
      <c r="P159" s="121" t="s"/>
      <c r="Q159" s="121" t="s"/>
      <c r="R159" s="121" t="s"/>
      <c r="S159" s="38" t="s">
        <v>710</v>
      </c>
    </row>
    <row r="160" spans="1:23" ht="13.55" customHeight="1">
      <c r="A160" s="154" t="s">
        <v>593</v>
      </c>
      <c r="B160" s="154" t="s">
        <v>594</v>
      </c>
      <c r="C160" s="154" t="s">
        <v>36</v>
      </c>
      <c r="D160" s="155">
        <v>113</v>
      </c>
      <c r="E160" s="155">
        <v>90</v>
      </c>
      <c r="F160" s="155">
        <v>25</v>
      </c>
      <c r="G160" s="155">
        <v>118</v>
      </c>
      <c r="H160" s="155">
        <v>93</v>
      </c>
      <c r="I160" s="156">
        <v>65</v>
      </c>
      <c r="J160" s="157">
        <f>=SUM(D160:I160)</f>
        <v>504</v>
      </c>
      <c r="K160" s="158">
        <f>=J160-MIN(E160,F160)</f>
        <v>479</v>
      </c>
      <c r="L160" s="129">
        <f>=(2.04*D160+246.4)*(1.1*(G160+H160)+186)</f>
        <v>199400.252</v>
      </c>
      <c r="M160" s="15">
        <v>199</v>
      </c>
      <c r="N160" s="159" t="s">
        <v>56</v>
      </c>
      <c r="O160" s="154" t="s">
        <v>595</v>
      </c>
      <c r="P160" s="160" t="s"/>
      <c r="Q160" s="160" t="s"/>
      <c r="R160" s="160" t="s"/>
      <c r="S160" s="154" t="s">
        <v>596</v>
      </c>
      <c r="T160" s="175" t="s"/>
      <c r="U160" s="175" t="s"/>
      <c r="V160" s="175" t="s"/>
      <c r="W160" s="175" t="s"/>
    </row>
    <row r="161" spans="1:19" ht="13.55" hidden="1" customHeight="1">
      <c r="A161" s="38" t="s">
        <v>715</v>
      </c>
      <c r="B161" s="38" t="s">
        <v>716</v>
      </c>
      <c r="C161" s="38" t="s">
        <v>144</v>
      </c>
      <c r="D161" s="39">
        <v>74</v>
      </c>
      <c r="E161" s="39">
        <v>40</v>
      </c>
      <c r="F161" s="39">
        <v>96</v>
      </c>
      <c r="G161" s="39">
        <v>78</v>
      </c>
      <c r="H161" s="39">
        <v>108</v>
      </c>
      <c r="I161" s="39">
        <v>92</v>
      </c>
      <c r="J161" s="40">
        <f>=SUM(D161:I161)</f>
        <v>488</v>
      </c>
      <c r="K161" s="17">
        <f>=J161-MIN(E161,F161)</f>
        <v>448</v>
      </c>
      <c r="L161" s="41">
        <f>=(2.04*D161+246.4)*(1.1*(G161+H161)+186)</f>
        <v>155208.816</v>
      </c>
      <c r="M161" s="42" t="s"/>
      <c r="N161" s="42" t="s">
        <v>61</v>
      </c>
      <c r="O161" s="38" t="s">
        <v>145</v>
      </c>
      <c r="P161" s="121" t="s"/>
      <c r="Q161" s="121" t="s"/>
      <c r="R161" s="121" t="s"/>
      <c r="S161" s="38" t="s">
        <v>717</v>
      </c>
    </row>
    <row r="162" spans="1:19" ht="13.55" hidden="1" customHeight="1">
      <c r="A162" s="38" t="s">
        <v>718</v>
      </c>
      <c r="B162" s="38" t="s">
        <v>719</v>
      </c>
      <c r="C162" s="38" t="s">
        <v>149</v>
      </c>
      <c r="D162" s="39">
        <v>90</v>
      </c>
      <c r="E162" s="39">
        <v>73</v>
      </c>
      <c r="F162" s="39">
        <v>152</v>
      </c>
      <c r="G162" s="39">
        <v>55</v>
      </c>
      <c r="H162" s="39">
        <v>79</v>
      </c>
      <c r="I162" s="39">
        <v>72</v>
      </c>
      <c r="J162" s="40">
        <f>=SUM(D162:I162)</f>
        <v>521</v>
      </c>
      <c r="K162" s="17">
        <f>=J162-MIN(E162,F162)</f>
        <v>448</v>
      </c>
      <c r="L162" s="41">
        <f>=(2.04*D162+246.4)*(1.1*(G162+H162)+186)</f>
        <v>143362</v>
      </c>
      <c r="M162" s="76" t="s"/>
      <c r="N162" s="76" t="s">
        <v>61</v>
      </c>
      <c r="O162" s="38" t="s">
        <v>150</v>
      </c>
      <c r="P162" s="121" t="s"/>
      <c r="Q162" s="121" t="s"/>
      <c r="R162" s="121" t="s"/>
      <c r="S162" s="38" t="s">
        <v>720</v>
      </c>
    </row>
    <row r="163" spans="1:19" ht="13.55" hidden="1" customHeight="1">
      <c r="A163" s="38" t="s">
        <v>721</v>
      </c>
      <c r="B163" s="38" t="s">
        <v>722</v>
      </c>
      <c r="C163" s="38" t="s">
        <v>154</v>
      </c>
      <c r="D163" s="39">
        <v>102</v>
      </c>
      <c r="E163" s="39">
        <v>55</v>
      </c>
      <c r="F163" s="39">
        <v>111</v>
      </c>
      <c r="G163" s="39">
        <v>57</v>
      </c>
      <c r="H163" s="39">
        <v>93</v>
      </c>
      <c r="I163" s="39">
        <v>84</v>
      </c>
      <c r="J163" s="40">
        <f>=SUM(D163:I163)</f>
        <v>502</v>
      </c>
      <c r="K163" s="17">
        <f>=J163-MIN(E163,F163)</f>
        <v>447</v>
      </c>
      <c r="L163" s="41">
        <f>=(2.04*D163+246.4)*(1.1*(G163+H163)+186)</f>
        <v>159522.48</v>
      </c>
      <c r="M163" s="76" t="s"/>
      <c r="N163" s="76" t="s">
        <v>61</v>
      </c>
      <c r="O163" s="38" t="s">
        <v>155</v>
      </c>
      <c r="P163" s="121" t="s"/>
      <c r="Q163" s="121" t="s"/>
      <c r="R163" s="121" t="s"/>
      <c r="S163" s="38" t="s">
        <v>723</v>
      </c>
    </row>
    <row r="164" spans="1:19" ht="13.55" customHeight="1">
      <c r="A164" s="154" t="s">
        <v>133</v>
      </c>
      <c r="B164" s="154" t="s">
        <v>134</v>
      </c>
      <c r="C164" s="154" t="s">
        <v>125</v>
      </c>
      <c r="D164" s="155">
        <v>118</v>
      </c>
      <c r="E164" s="155">
        <v>82</v>
      </c>
      <c r="F164" s="155">
        <v>89</v>
      </c>
      <c r="G164" s="155">
        <v>103</v>
      </c>
      <c r="H164" s="155">
        <v>147</v>
      </c>
      <c r="I164" s="156">
        <v>105</v>
      </c>
      <c r="J164" s="157">
        <f>=SUM(D164:I164)</f>
        <v>644</v>
      </c>
      <c r="K164" s="158">
        <f>=J164-MIN(E164,F164)</f>
        <v>562</v>
      </c>
      <c r="L164" s="129">
        <f>=(2.04*D164+246.4)*(1.1*(G164+H164)+186)</f>
        <v>224562.32</v>
      </c>
      <c r="M164" s="220">
        <v>200</v>
      </c>
      <c r="N164" s="172" t="s">
        <v>56</v>
      </c>
      <c r="O164" s="154" t="s">
        <v>135</v>
      </c>
      <c r="P164" s="160" t="s"/>
      <c r="Q164" s="160" t="s"/>
      <c r="R164" s="160" t="s"/>
      <c r="S164" s="154" t="s">
        <v>136</v>
      </c>
    </row>
    <row r="165" spans="1:19" ht="13.55" customHeight="1">
      <c r="A165" s="154" t="s">
        <v>279</v>
      </c>
      <c r="B165" s="154" t="s">
        <v>280</v>
      </c>
      <c r="C165" s="154" t="s">
        <v>26</v>
      </c>
      <c r="D165" s="155">
        <v>149</v>
      </c>
      <c r="E165" s="155">
        <v>102</v>
      </c>
      <c r="F165" s="155">
        <v>95</v>
      </c>
      <c r="G165" s="155">
        <v>116</v>
      </c>
      <c r="H165" s="155">
        <v>95</v>
      </c>
      <c r="I165" s="156">
        <v>70</v>
      </c>
      <c r="J165" s="157">
        <f>=SUM(D165:I165)</f>
        <v>627</v>
      </c>
      <c r="K165" s="158">
        <f>=J165-MIN(E165,F165)</f>
        <v>532</v>
      </c>
      <c r="L165" s="129">
        <f>=(2.04*D165+246.4)*(1.1*(G165+H165)+186)</f>
        <v>230105.516</v>
      </c>
      <c r="M165" s="15">
        <v>205</v>
      </c>
      <c r="N165" s="159" t="s">
        <v>56</v>
      </c>
      <c r="O165" s="154" t="s">
        <v>281</v>
      </c>
      <c r="P165" s="160" t="s"/>
      <c r="Q165" s="160" t="s"/>
      <c r="R165" s="160" t="s"/>
      <c r="S165" s="154" t="s">
        <v>282</v>
      </c>
    </row>
    <row r="166" spans="1:19" ht="13.55" hidden="1" customHeight="1">
      <c r="A166" s="38" t="s">
        <v>733</v>
      </c>
      <c r="B166" s="38" t="s">
        <v>734</v>
      </c>
      <c r="C166" s="38" t="s">
        <v>18</v>
      </c>
      <c r="D166" s="39">
        <v>82</v>
      </c>
      <c r="E166" s="39">
        <v>84</v>
      </c>
      <c r="F166" s="39">
        <v>78</v>
      </c>
      <c r="G166" s="39">
        <v>109</v>
      </c>
      <c r="H166" s="39">
        <v>109</v>
      </c>
      <c r="I166" s="39">
        <v>60</v>
      </c>
      <c r="J166" s="40">
        <f>=SUM(D166:I166)</f>
        <v>522</v>
      </c>
      <c r="K166" s="17">
        <f>=J166-MIN(E166,F166)</f>
        <v>444</v>
      </c>
      <c r="L166" s="41">
        <f>=(2.04*D166+246.4)*(1.1*(G166+H166)+186)</f>
        <v>176144.944</v>
      </c>
      <c r="M166" s="76" t="s"/>
      <c r="N166" s="76" t="s">
        <v>61</v>
      </c>
      <c r="O166" s="38" t="s">
        <v>166</v>
      </c>
      <c r="P166" s="121" t="s"/>
      <c r="Q166" s="121" t="s"/>
      <c r="R166" s="121" t="s"/>
      <c r="S166" s="38" t="s">
        <v>735</v>
      </c>
    </row>
    <row r="167" spans="1:19" ht="13.55" hidden="1" customHeight="1">
      <c r="A167" s="38" t="s">
        <v>736</v>
      </c>
      <c r="B167" s="38" t="s">
        <v>737</v>
      </c>
      <c r="C167" s="38" t="s">
        <v>175</v>
      </c>
      <c r="D167" s="39">
        <v>90</v>
      </c>
      <c r="E167" s="39">
        <v>38</v>
      </c>
      <c r="F167" s="39">
        <v>98</v>
      </c>
      <c r="G167" s="39">
        <v>80</v>
      </c>
      <c r="H167" s="39">
        <v>101</v>
      </c>
      <c r="I167" s="39">
        <v>72</v>
      </c>
      <c r="J167" s="40">
        <f>=SUM(D167:I167)</f>
        <v>479</v>
      </c>
      <c r="K167" s="17">
        <f>=J167-MIN(E167,F167)</f>
        <v>441</v>
      </c>
      <c r="L167" s="41">
        <f>=(2.04*D167+246.4)*(1.1*(G167+H167)+186)</f>
        <v>165593</v>
      </c>
      <c r="M167" s="42" t="s"/>
      <c r="N167" s="42" t="s">
        <v>61</v>
      </c>
      <c r="O167" s="38" t="s">
        <v>176</v>
      </c>
      <c r="P167" s="121" t="s"/>
      <c r="Q167" s="121" t="s"/>
      <c r="R167" s="121" t="s"/>
      <c r="S167" s="38" t="s">
        <v>738</v>
      </c>
    </row>
    <row r="168" spans="1:19" ht="13.55" hidden="1" customHeight="1">
      <c r="A168" s="38" t="s">
        <v>739</v>
      </c>
      <c r="B168" s="38" t="s">
        <v>740</v>
      </c>
      <c r="C168" s="38" t="s">
        <v>189</v>
      </c>
      <c r="D168" s="39">
        <v>93</v>
      </c>
      <c r="E168" s="39">
        <v>54</v>
      </c>
      <c r="F168" s="39">
        <v>102</v>
      </c>
      <c r="G168" s="39">
        <v>57</v>
      </c>
      <c r="H168" s="39">
        <v>101</v>
      </c>
      <c r="I168" s="39">
        <v>88</v>
      </c>
      <c r="J168" s="40">
        <f>=SUM(D168:I168)</f>
        <v>495</v>
      </c>
      <c r="K168" s="17">
        <f>=J168-MIN(E168,F168)</f>
        <v>441</v>
      </c>
      <c r="L168" s="41">
        <f>=(2.04*D168+246.4)*(1.1*(G168+H168)+186)</f>
        <v>156915.976</v>
      </c>
      <c r="M168" s="76" t="s"/>
      <c r="N168" s="76" t="s">
        <v>61</v>
      </c>
      <c r="O168" s="38" t="s">
        <v>190</v>
      </c>
      <c r="P168" s="121" t="s"/>
      <c r="Q168" s="121" t="s"/>
      <c r="R168" s="121" t="s"/>
      <c r="S168" s="38" t="s">
        <v>741</v>
      </c>
    </row>
    <row r="169" spans="1:19" ht="13.55" hidden="1" customHeight="1">
      <c r="A169" s="38" t="s">
        <v>742</v>
      </c>
      <c r="B169" s="38" t="s">
        <v>743</v>
      </c>
      <c r="C169" s="38" t="s">
        <v>36</v>
      </c>
      <c r="D169" s="39">
        <v>93</v>
      </c>
      <c r="E169" s="39">
        <v>111</v>
      </c>
      <c r="F169" s="39">
        <v>49</v>
      </c>
      <c r="G169" s="39">
        <v>75</v>
      </c>
      <c r="H169" s="39">
        <v>58</v>
      </c>
      <c r="I169" s="39">
        <v>104</v>
      </c>
      <c r="J169" s="40">
        <f>=SUM(D169:I169)</f>
        <v>490</v>
      </c>
      <c r="K169" s="17">
        <f>=J169-MIN(E169,F169)</f>
        <v>441</v>
      </c>
      <c r="L169" s="41">
        <f>=(2.04*D169+246.4)*(1.1*(G169+H169)+186)</f>
        <v>144922.676</v>
      </c>
      <c r="M169" s="76" t="s"/>
      <c r="N169" s="76" t="s">
        <v>61</v>
      </c>
      <c r="O169" s="38" t="s">
        <v>744</v>
      </c>
      <c r="P169" s="121" t="s"/>
      <c r="Q169" s="121" t="s"/>
      <c r="R169" s="121" t="s"/>
      <c r="S169" s="38" t="s">
        <v>745</v>
      </c>
    </row>
    <row r="170" spans="1:19" ht="13.55" hidden="1" customHeight="1">
      <c r="A170" s="38" t="s">
        <v>746</v>
      </c>
      <c r="B170" s="38" t="s">
        <v>747</v>
      </c>
      <c r="C170" s="38" t="s">
        <v>184</v>
      </c>
      <c r="D170" s="39">
        <v>60</v>
      </c>
      <c r="E170" s="39">
        <v>93</v>
      </c>
      <c r="F170" s="39">
        <v>99</v>
      </c>
      <c r="G170" s="39">
        <v>89</v>
      </c>
      <c r="H170" s="39">
        <v>93</v>
      </c>
      <c r="I170" s="39">
        <v>100</v>
      </c>
      <c r="J170" s="40">
        <f>=SUM(D170:I170)</f>
        <v>534</v>
      </c>
      <c r="K170" s="17">
        <f>=J170-MIN(E170,F170)</f>
        <v>441</v>
      </c>
      <c r="L170" s="41">
        <f>=(2.04*D170+246.4)*(1.1*(G170+H170)+186)</f>
        <v>142430.56</v>
      </c>
      <c r="M170" s="42" t="s"/>
      <c r="N170" s="42" t="s">
        <v>61</v>
      </c>
      <c r="O170" s="38" t="s">
        <v>185</v>
      </c>
      <c r="P170" s="121" t="s"/>
      <c r="Q170" s="121" t="s"/>
      <c r="R170" s="121" t="s"/>
      <c r="S170" s="38" t="s">
        <v>748</v>
      </c>
    </row>
    <row r="171" spans="1:19" ht="13.55" hidden="1" customHeight="1">
      <c r="A171" s="38" t="s">
        <v>749</v>
      </c>
      <c r="B171" s="38" t="s">
        <v>750</v>
      </c>
      <c r="C171" s="38" t="s">
        <v>18</v>
      </c>
      <c r="D171" s="39">
        <v>82</v>
      </c>
      <c r="E171" s="39">
        <v>108</v>
      </c>
      <c r="F171" s="39">
        <v>43</v>
      </c>
      <c r="G171" s="39">
        <v>101</v>
      </c>
      <c r="H171" s="39">
        <v>80</v>
      </c>
      <c r="I171" s="39">
        <v>68</v>
      </c>
      <c r="J171" s="40">
        <f>=SUM(D171:I171)</f>
        <v>482</v>
      </c>
      <c r="K171" s="17">
        <f>=J171-MIN(E171,F171)</f>
        <v>439</v>
      </c>
      <c r="L171" s="41">
        <f>=(2.04*D171+246.4)*(1.1*(G171+H171)+186)</f>
        <v>159308.168</v>
      </c>
      <c r="M171" s="76" t="s"/>
      <c r="N171" s="76" t="s">
        <v>61</v>
      </c>
      <c r="O171" s="38" t="s">
        <v>180</v>
      </c>
      <c r="P171" s="121" t="s"/>
      <c r="Q171" s="121" t="s"/>
      <c r="R171" s="121" t="s"/>
      <c r="S171" s="38" t="s">
        <v>751</v>
      </c>
    </row>
    <row r="172" spans="1:19" ht="13.55" hidden="1" customHeight="1">
      <c r="A172" s="38" t="s">
        <v>752</v>
      </c>
      <c r="B172" s="38" t="s">
        <v>753</v>
      </c>
      <c r="C172" s="38" t="s">
        <v>125</v>
      </c>
      <c r="D172" s="39">
        <v>90</v>
      </c>
      <c r="E172" s="39">
        <v>37</v>
      </c>
      <c r="F172" s="39">
        <v>96</v>
      </c>
      <c r="G172" s="39">
        <v>85</v>
      </c>
      <c r="H172" s="39">
        <v>107</v>
      </c>
      <c r="I172" s="39">
        <v>60</v>
      </c>
      <c r="J172" s="40">
        <f>=SUM(D172:I172)</f>
        <v>475</v>
      </c>
      <c r="K172" s="17">
        <f>=J172-MIN(E172,F172)</f>
        <v>438</v>
      </c>
      <c r="L172" s="41">
        <f>=(2.04*D172+246.4)*(1.1*(G172+H172)+186)</f>
        <v>170796</v>
      </c>
      <c r="M172" s="76" t="s"/>
      <c r="N172" s="76" t="s">
        <v>61</v>
      </c>
      <c r="O172" s="38" t="s">
        <v>203</v>
      </c>
      <c r="P172" s="121" t="s"/>
      <c r="Q172" s="121" t="s"/>
      <c r="R172" s="121" t="s"/>
      <c r="S172" s="38" t="s">
        <v>754</v>
      </c>
    </row>
    <row r="173" spans="1:40" s="254" customFormat="1" ht="13.55" hidden="1" customHeight="1">
      <c r="A173" s="38" t="s">
        <v>755</v>
      </c>
      <c r="B173" s="38" t="s">
        <v>756</v>
      </c>
      <c r="C173" s="38" t="s">
        <v>194</v>
      </c>
      <c r="D173" s="39">
        <v>79</v>
      </c>
      <c r="E173" s="39">
        <v>35</v>
      </c>
      <c r="F173" s="39">
        <v>89</v>
      </c>
      <c r="G173" s="39">
        <v>87</v>
      </c>
      <c r="H173" s="39">
        <v>111</v>
      </c>
      <c r="I173" s="39">
        <v>72</v>
      </c>
      <c r="J173" s="40">
        <f>=SUM(D173:I173)</f>
        <v>473</v>
      </c>
      <c r="K173" s="17">
        <f>=J173-MIN(E173,F173)</f>
        <v>438</v>
      </c>
      <c r="L173" s="41">
        <f>=(2.04*D173+246.4)*(1.1*(G173+H173)+186)</f>
        <v>164572.728</v>
      </c>
      <c r="M173" s="42" t="s"/>
      <c r="N173" s="42" t="s">
        <v>61</v>
      </c>
      <c r="O173" s="38" t="s">
        <v>195</v>
      </c>
      <c r="P173" s="121" t="s"/>
      <c r="Q173" s="121" t="s"/>
      <c r="R173" s="121" t="s"/>
      <c r="S173" s="38" t="s">
        <v>757</v>
      </c>
      <c r="T173" s="43" t="s"/>
      <c r="U173" s="43" t="s"/>
      <c r="V173" s="43" t="s"/>
      <c r="W173" s="43" t="s"/>
      <c r="AA173" s="44" t="s"/>
      <c r="AB173" s="44" t="s"/>
      <c r="AC173" s="44" t="s"/>
      <c r="AD173" s="44" t="s"/>
      <c r="AE173" s="44" t="s"/>
      <c r="AF173" s="44" t="s"/>
      <c r="AG173" s="44" t="s"/>
      <c r="AH173" s="44" t="s"/>
      <c r="AI173" s="44" t="s"/>
      <c r="AJ173" s="44" t="s"/>
      <c r="AK173" s="44" t="s"/>
      <c r="AL173" s="44" t="s"/>
      <c r="AM173" s="44" t="s"/>
      <c r="AN173" s="44" t="s"/>
    </row>
    <row r="174" spans="1:19" ht="13.55" hidden="1" customHeight="1">
      <c r="A174" s="38" t="s">
        <v>758</v>
      </c>
      <c r="B174" s="38" t="s">
        <v>759</v>
      </c>
      <c r="C174" s="38" t="s">
        <v>212</v>
      </c>
      <c r="D174" s="39">
        <v>110</v>
      </c>
      <c r="E174" s="39">
        <v>41</v>
      </c>
      <c r="F174" s="39">
        <v>89</v>
      </c>
      <c r="G174" s="39">
        <v>70</v>
      </c>
      <c r="H174" s="39">
        <v>104</v>
      </c>
      <c r="I174" s="39">
        <v>64</v>
      </c>
      <c r="J174" s="40">
        <f>=SUM(D174:I174)</f>
        <v>478</v>
      </c>
      <c r="K174" s="17">
        <f>=J174-MIN(E174,F174)</f>
        <v>437</v>
      </c>
      <c r="L174" s="41">
        <f>=(2.04*D174+246.4)*(1.1*(G174+H174)+186)</f>
        <v>177679.92</v>
      </c>
      <c r="M174" s="76" t="s"/>
      <c r="N174" s="76" t="s">
        <v>61</v>
      </c>
      <c r="O174" s="38" t="s">
        <v>213</v>
      </c>
      <c r="P174" s="121" t="s"/>
      <c r="Q174" s="121" t="s"/>
      <c r="R174" s="121" t="s"/>
      <c r="S174" s="38" t="s">
        <v>760</v>
      </c>
    </row>
    <row r="175" spans="1:19" ht="13.55" customHeight="1">
      <c r="A175" s="154" t="s">
        <v>487</v>
      </c>
      <c r="B175" s="154" t="s">
        <v>488</v>
      </c>
      <c r="C175" s="154" t="s">
        <v>489</v>
      </c>
      <c r="D175" s="155">
        <v>79</v>
      </c>
      <c r="E175" s="155">
        <v>88</v>
      </c>
      <c r="F175" s="155">
        <v>88</v>
      </c>
      <c r="G175" s="155">
        <v>136</v>
      </c>
      <c r="H175" s="155">
        <v>110</v>
      </c>
      <c r="I175" s="156">
        <v>90</v>
      </c>
      <c r="J175" s="157">
        <f>=SUM(D175:I175)</f>
        <v>591</v>
      </c>
      <c r="K175" s="158">
        <f>=J175-MIN(E175,F175)</f>
        <v>503</v>
      </c>
      <c r="L175" s="129">
        <f>=(2.04*D175+246.4)*(1.1*(G175+H175)+186)</f>
        <v>186091.896</v>
      </c>
      <c r="M175" s="15">
        <v>208</v>
      </c>
      <c r="N175" s="159" t="s">
        <v>56</v>
      </c>
      <c r="O175" s="154" t="s">
        <v>490</v>
      </c>
      <c r="P175" s="160" t="s"/>
      <c r="Q175" s="160" t="s"/>
      <c r="R175" s="160" t="s"/>
      <c r="S175" s="154" t="s">
        <v>491</v>
      </c>
    </row>
    <row r="176" spans="1:19" ht="13.55" hidden="1" customHeight="1">
      <c r="A176" s="38" t="s">
        <v>765</v>
      </c>
      <c r="B176" s="38" t="s">
        <v>766</v>
      </c>
      <c r="C176" s="38" t="s">
        <v>221</v>
      </c>
      <c r="D176" s="39">
        <v>108</v>
      </c>
      <c r="E176" s="39">
        <v>30</v>
      </c>
      <c r="F176" s="39">
        <v>68</v>
      </c>
      <c r="G176" s="39">
        <v>75</v>
      </c>
      <c r="H176" s="39">
        <v>109</v>
      </c>
      <c r="I176" s="39">
        <v>76</v>
      </c>
      <c r="J176" s="40">
        <f>=SUM(D176:I176)</f>
        <v>466</v>
      </c>
      <c r="K176" s="17">
        <f>=J176-MIN(E176,F176)</f>
        <v>436</v>
      </c>
      <c r="L176" s="41">
        <f>=(2.04*D176+246.4)*(1.1*(G176+H176)+186)</f>
        <v>181274.048</v>
      </c>
      <c r="M176" s="42" t="s"/>
      <c r="N176" s="42" t="s">
        <v>61</v>
      </c>
      <c r="O176" s="38" t="s">
        <v>222</v>
      </c>
      <c r="P176" s="121" t="s"/>
      <c r="Q176" s="121" t="s"/>
      <c r="R176" s="121" t="s"/>
      <c r="S176" s="38" t="s">
        <v>767</v>
      </c>
    </row>
    <row r="177" spans="1:40" s="254" customFormat="1" ht="13.55" customHeight="1">
      <c r="A177" s="154" t="s">
        <v>588</v>
      </c>
      <c r="B177" s="154" t="s">
        <v>589</v>
      </c>
      <c r="C177" s="154" t="s">
        <v>590</v>
      </c>
      <c r="D177" s="155">
        <v>108</v>
      </c>
      <c r="E177" s="155">
        <v>140</v>
      </c>
      <c r="F177" s="155">
        <v>55</v>
      </c>
      <c r="G177" s="155">
        <v>73</v>
      </c>
      <c r="H177" s="155">
        <v>54</v>
      </c>
      <c r="I177" s="156">
        <v>105</v>
      </c>
      <c r="J177" s="157">
        <f>=SUM(D177:I177)</f>
        <v>535</v>
      </c>
      <c r="K177" s="158">
        <f>=J177-MIN(E177,F177)</f>
        <v>480</v>
      </c>
      <c r="L177" s="129">
        <f>=(2.04*D177+246.4)*(1.1*(G177+H177)+186)</f>
        <v>152010.704</v>
      </c>
      <c r="M177" s="15">
        <v>210</v>
      </c>
      <c r="N177" s="159" t="s">
        <v>56</v>
      </c>
      <c r="O177" s="154" t="s">
        <v>591</v>
      </c>
      <c r="P177" s="160" t="s"/>
      <c r="Q177" s="160" t="s"/>
      <c r="R177" s="160" t="s"/>
      <c r="S177" s="154" t="s">
        <v>592</v>
      </c>
      <c r="AA177" s="171" t="s"/>
      <c r="AB177" s="171" t="s"/>
      <c r="AC177" s="171" t="s"/>
      <c r="AD177" s="171" t="s"/>
      <c r="AE177" s="171" t="s"/>
      <c r="AF177" s="171" t="s"/>
      <c r="AG177" s="171" t="s"/>
      <c r="AH177" s="171" t="s"/>
      <c r="AI177" s="171" t="s"/>
      <c r="AJ177" s="171" t="s"/>
      <c r="AK177" s="171" t="s"/>
      <c r="AL177" s="171" t="s"/>
      <c r="AM177" s="171" t="s"/>
      <c r="AN177" s="171" t="s"/>
    </row>
    <row r="178" spans="1:19" ht="13.55" hidden="1" customHeight="1">
      <c r="A178" s="38" t="s">
        <v>772</v>
      </c>
      <c r="B178" s="38" t="s">
        <v>773</v>
      </c>
      <c r="C178" s="38" t="s">
        <v>115</v>
      </c>
      <c r="D178" s="39">
        <v>83</v>
      </c>
      <c r="E178" s="39">
        <v>117</v>
      </c>
      <c r="F178" s="39">
        <v>54</v>
      </c>
      <c r="G178" s="39">
        <v>90</v>
      </c>
      <c r="H178" s="39">
        <v>58</v>
      </c>
      <c r="I178" s="39">
        <v>88</v>
      </c>
      <c r="J178" s="40">
        <f>=SUM(D178:I178)</f>
        <v>490</v>
      </c>
      <c r="K178" s="17">
        <f>=J178-MIN(E178,F178)</f>
        <v>436</v>
      </c>
      <c r="L178" s="41">
        <f>=(2.04*D178+246.4)*(1.1*(G178+H178)+186)</f>
        <v>145003.136</v>
      </c>
      <c r="M178" s="76" t="s"/>
      <c r="N178" s="76" t="s">
        <v>61</v>
      </c>
      <c r="O178" s="38" t="s">
        <v>217</v>
      </c>
      <c r="P178" s="121" t="s"/>
      <c r="Q178" s="121" t="s"/>
      <c r="R178" s="121" t="s"/>
      <c r="S178" s="38" t="s">
        <v>774</v>
      </c>
    </row>
    <row r="179" spans="1:19" ht="13.55" customHeight="1">
      <c r="A179" s="154" t="s">
        <v>402</v>
      </c>
      <c r="B179" s="154" t="s">
        <v>403</v>
      </c>
      <c r="C179" s="154" t="s">
        <v>404</v>
      </c>
      <c r="D179" s="155">
        <v>93</v>
      </c>
      <c r="E179" s="155">
        <v>24</v>
      </c>
      <c r="F179" s="155">
        <v>109</v>
      </c>
      <c r="G179" s="155">
        <v>105</v>
      </c>
      <c r="H179" s="155">
        <v>91</v>
      </c>
      <c r="I179" s="156">
        <v>120</v>
      </c>
      <c r="J179" s="157">
        <f>=SUM(D179:I179)</f>
        <v>542</v>
      </c>
      <c r="K179" s="158">
        <f>=J179-MIN(E179,F179)</f>
        <v>518</v>
      </c>
      <c r="L179" s="129">
        <f>=(2.04*D179+246.4)*(1.1*(G179+H179)+186)</f>
        <v>175145.792</v>
      </c>
      <c r="M179" s="220">
        <v>215</v>
      </c>
      <c r="N179" s="172" t="s">
        <v>56</v>
      </c>
      <c r="O179" s="154" t="s">
        <v>405</v>
      </c>
      <c r="P179" s="160" t="s"/>
      <c r="Q179" s="160" t="s"/>
      <c r="R179" s="160" t="s"/>
      <c r="S179" s="154" t="s">
        <v>406</v>
      </c>
    </row>
    <row r="180" spans="1:40" s="254" customFormat="1" ht="13.55" hidden="1" customHeight="1">
      <c r="A180" s="38" t="s">
        <v>780</v>
      </c>
      <c r="B180" s="38" t="s">
        <v>781</v>
      </c>
      <c r="C180" s="38" t="s">
        <v>125</v>
      </c>
      <c r="D180" s="39">
        <v>109</v>
      </c>
      <c r="E180" s="39">
        <v>27</v>
      </c>
      <c r="F180" s="39">
        <v>76</v>
      </c>
      <c r="G180" s="39">
        <v>76</v>
      </c>
      <c r="H180" s="39">
        <v>88</v>
      </c>
      <c r="I180" s="39">
        <v>84</v>
      </c>
      <c r="J180" s="40">
        <f>=SUM(D180:I180)</f>
        <v>460</v>
      </c>
      <c r="K180" s="17">
        <f>=J180-MIN(E180,F180)</f>
        <v>433</v>
      </c>
      <c r="L180" s="41">
        <f>=(2.04*D180+246.4)*(1.1*(G180+H180)+186)</f>
        <v>171753.664</v>
      </c>
      <c r="M180" s="76" t="s"/>
      <c r="N180" s="76" t="s">
        <v>61</v>
      </c>
      <c r="O180" s="38" t="s">
        <v>226</v>
      </c>
      <c r="P180" s="121" t="s"/>
      <c r="Q180" s="121" t="s"/>
      <c r="R180" s="121" t="s"/>
      <c r="S180" s="38" t="s">
        <v>782</v>
      </c>
      <c r="T180" s="43" t="s"/>
      <c r="U180" s="43" t="s"/>
      <c r="V180" s="43" t="s"/>
      <c r="W180" s="43" t="s"/>
      <c r="AA180" s="44" t="s"/>
      <c r="AB180" s="44" t="s"/>
      <c r="AC180" s="44" t="s"/>
      <c r="AD180" s="44" t="s"/>
      <c r="AE180" s="44" t="s"/>
      <c r="AF180" s="44" t="s"/>
      <c r="AG180" s="44" t="s"/>
      <c r="AH180" s="44" t="s"/>
      <c r="AI180" s="44" t="s"/>
      <c r="AJ180" s="44" t="s"/>
      <c r="AK180" s="44" t="s"/>
      <c r="AL180" s="44" t="s"/>
      <c r="AM180" s="44" t="s"/>
      <c r="AN180" s="44" t="s"/>
    </row>
    <row r="181" spans="1:19" ht="13.55" customHeight="1">
      <c r="A181" s="154" t="s">
        <v>459</v>
      </c>
      <c r="B181" s="154" t="s">
        <v>460</v>
      </c>
      <c r="C181" s="154" t="s">
        <v>46</v>
      </c>
      <c r="D181" s="155">
        <v>112</v>
      </c>
      <c r="E181" s="155">
        <v>108</v>
      </c>
      <c r="F181" s="155">
        <v>97</v>
      </c>
      <c r="G181" s="155">
        <v>141</v>
      </c>
      <c r="H181" s="155">
        <v>79</v>
      </c>
      <c r="I181" s="156">
        <v>70</v>
      </c>
      <c r="J181" s="157">
        <f>=SUM(D181:I181)</f>
        <v>607</v>
      </c>
      <c r="K181" s="158">
        <f>=J181-MIN(E181,F181)</f>
        <v>510</v>
      </c>
      <c r="L181" s="129">
        <f>=(2.04*D181+246.4)*(1.1*(G181+H181)+186)</f>
        <v>203248.64</v>
      </c>
      <c r="M181" s="220">
        <v>217</v>
      </c>
      <c r="N181" s="172" t="s">
        <v>56</v>
      </c>
      <c r="O181" s="154" t="s">
        <v>461</v>
      </c>
      <c r="P181" s="160" t="s"/>
      <c r="Q181" s="160" t="s"/>
      <c r="R181" s="160" t="s"/>
      <c r="S181" s="154" t="s">
        <v>462</v>
      </c>
    </row>
    <row r="182" spans="1:19" ht="13.55" hidden="1" customHeight="1">
      <c r="A182" s="38" t="s">
        <v>787</v>
      </c>
      <c r="B182" s="38" t="s">
        <v>788</v>
      </c>
      <c r="C182" s="38" t="s">
        <v>248</v>
      </c>
      <c r="D182" s="39">
        <v>110</v>
      </c>
      <c r="E182" s="39">
        <v>29</v>
      </c>
      <c r="F182" s="39">
        <v>82</v>
      </c>
      <c r="G182" s="39">
        <v>71</v>
      </c>
      <c r="H182" s="39">
        <v>83</v>
      </c>
      <c r="I182" s="39">
        <v>84</v>
      </c>
      <c r="J182" s="40">
        <f>=SUM(D182:I182)</f>
        <v>459</v>
      </c>
      <c r="K182" s="17">
        <f>=J182-MIN(E182,F182)</f>
        <v>430</v>
      </c>
      <c r="L182" s="41">
        <f>=(2.04*D182+246.4)*(1.1*(G182+H182)+186)</f>
        <v>167322.32</v>
      </c>
      <c r="M182" s="76" t="s"/>
      <c r="N182" s="76" t="s">
        <v>61</v>
      </c>
      <c r="O182" s="38" t="s">
        <v>249</v>
      </c>
      <c r="P182" s="121" t="s"/>
      <c r="Q182" s="121" t="s"/>
      <c r="R182" s="121" t="s"/>
      <c r="S182" s="38" t="s">
        <v>789</v>
      </c>
    </row>
    <row r="183" spans="1:19" ht="13.55" hidden="1" customHeight="1">
      <c r="A183" s="38" t="s">
        <v>790</v>
      </c>
      <c r="B183" s="38" t="s">
        <v>791</v>
      </c>
      <c r="C183" s="38" t="s">
        <v>243</v>
      </c>
      <c r="D183" s="39">
        <v>98</v>
      </c>
      <c r="E183" s="39">
        <v>95</v>
      </c>
      <c r="F183" s="39">
        <v>33</v>
      </c>
      <c r="G183" s="39">
        <v>88</v>
      </c>
      <c r="H183" s="39">
        <v>81</v>
      </c>
      <c r="I183" s="39">
        <v>68</v>
      </c>
      <c r="J183" s="40">
        <f>=SUM(D183:I183)</f>
        <v>463</v>
      </c>
      <c r="K183" s="17">
        <f>=J183-MIN(E183,F183)</f>
        <v>430</v>
      </c>
      <c r="L183" s="41">
        <f>=(2.04*D183+246.4)*(1.1*(G183+H183)+186)</f>
        <v>165986.408</v>
      </c>
      <c r="M183" s="76" t="s"/>
      <c r="N183" s="76" t="s">
        <v>61</v>
      </c>
      <c r="O183" s="38" t="s">
        <v>244</v>
      </c>
      <c r="P183" s="121" t="s"/>
      <c r="Q183" s="121" t="s"/>
      <c r="R183" s="121" t="s"/>
      <c r="S183" s="38" t="s">
        <v>792</v>
      </c>
    </row>
    <row r="184" spans="1:19" ht="13.55" hidden="1" customHeight="1">
      <c r="A184" s="38" t="s">
        <v>793</v>
      </c>
      <c r="B184" s="38" t="s">
        <v>794</v>
      </c>
      <c r="C184" s="38" t="s">
        <v>115</v>
      </c>
      <c r="D184" s="39">
        <v>79</v>
      </c>
      <c r="E184" s="39">
        <v>48</v>
      </c>
      <c r="F184" s="39">
        <v>129</v>
      </c>
      <c r="G184" s="39">
        <v>62</v>
      </c>
      <c r="H184" s="39">
        <v>74</v>
      </c>
      <c r="I184" s="39">
        <v>84</v>
      </c>
      <c r="J184" s="40">
        <f>=SUM(D184:I184)</f>
        <v>476</v>
      </c>
      <c r="K184" s="17">
        <f>=J184-MIN(E184,F184)</f>
        <v>428</v>
      </c>
      <c r="L184" s="41">
        <f>=(2.04*D184+246.4)*(1.1*(G184+H184)+186)</f>
        <v>136777.136</v>
      </c>
      <c r="M184" s="76" t="s"/>
      <c r="N184" s="76" t="s">
        <v>61</v>
      </c>
      <c r="O184" s="38" t="s">
        <v>795</v>
      </c>
      <c r="P184" s="121" t="s"/>
      <c r="Q184" s="121" t="s"/>
      <c r="R184" s="121" t="s"/>
      <c r="S184" s="38" t="s">
        <v>796</v>
      </c>
    </row>
    <row r="185" spans="1:19" ht="13.55" hidden="1" customHeight="1">
      <c r="A185" s="38" t="s">
        <v>797</v>
      </c>
      <c r="B185" s="38" t="s">
        <v>798</v>
      </c>
      <c r="C185" s="38" t="s">
        <v>144</v>
      </c>
      <c r="D185" s="39">
        <v>103</v>
      </c>
      <c r="E185" s="39">
        <v>84</v>
      </c>
      <c r="F185" s="39">
        <v>34</v>
      </c>
      <c r="G185" s="39">
        <v>105</v>
      </c>
      <c r="H185" s="39">
        <v>79</v>
      </c>
      <c r="I185" s="39">
        <v>56</v>
      </c>
      <c r="J185" s="40">
        <f>=SUM(D185:I185)</f>
        <v>461</v>
      </c>
      <c r="K185" s="17">
        <f>=J185-MIN(E185,F185)</f>
        <v>427</v>
      </c>
      <c r="L185" s="41">
        <f>=(2.04*D185+246.4)*(1.1*(G185+H185)+186)</f>
        <v>177312.368</v>
      </c>
      <c r="M185" s="42" t="s"/>
      <c r="N185" s="42" t="s">
        <v>61</v>
      </c>
      <c r="O185" s="38" t="s">
        <v>259</v>
      </c>
      <c r="P185" s="121" t="s"/>
      <c r="Q185" s="121" t="s"/>
      <c r="R185" s="121" t="s"/>
      <c r="S185" s="38" t="s">
        <v>799</v>
      </c>
    </row>
    <row r="186" spans="1:19" ht="13.55" hidden="1" customHeight="1">
      <c r="A186" s="38" t="s">
        <v>800</v>
      </c>
      <c r="B186" s="38" t="s">
        <v>801</v>
      </c>
      <c r="C186" s="38" t="s">
        <v>253</v>
      </c>
      <c r="D186" s="39">
        <v>89</v>
      </c>
      <c r="E186" s="39">
        <v>78</v>
      </c>
      <c r="F186" s="39">
        <v>78</v>
      </c>
      <c r="G186" s="39">
        <v>116</v>
      </c>
      <c r="H186" s="39">
        <v>88</v>
      </c>
      <c r="I186" s="39">
        <v>56</v>
      </c>
      <c r="J186" s="40">
        <f>=SUM(D186:I186)</f>
        <v>505</v>
      </c>
      <c r="K186" s="17">
        <f>=J186-MIN(E186,F186)</f>
        <v>427</v>
      </c>
      <c r="L186" s="41">
        <f>=(2.04*D186+246.4)*(1.1*(G186+H186)+186)</f>
        <v>175634.784</v>
      </c>
      <c r="M186" s="76" t="s"/>
      <c r="N186" s="76" t="s">
        <v>61</v>
      </c>
      <c r="O186" s="38" t="s">
        <v>254</v>
      </c>
      <c r="P186" s="121" t="s"/>
      <c r="Q186" s="121" t="s"/>
      <c r="R186" s="121" t="s"/>
      <c r="S186" s="38" t="s">
        <v>802</v>
      </c>
    </row>
    <row r="187" spans="1:19" ht="13.55" hidden="1" customHeight="1">
      <c r="A187" s="38" t="s">
        <v>803</v>
      </c>
      <c r="B187" s="38" t="s">
        <v>804</v>
      </c>
      <c r="C187" s="38" t="s">
        <v>85</v>
      </c>
      <c r="D187" s="39">
        <v>89</v>
      </c>
      <c r="E187" s="39">
        <v>100</v>
      </c>
      <c r="F187" s="39">
        <v>100</v>
      </c>
      <c r="G187" s="39">
        <v>64</v>
      </c>
      <c r="H187" s="39">
        <v>98</v>
      </c>
      <c r="I187" s="39">
        <v>76</v>
      </c>
      <c r="J187" s="40">
        <f>=SUM(D187:I187)</f>
        <v>527</v>
      </c>
      <c r="K187" s="17">
        <f>=J187-MIN(E187,F187)</f>
        <v>427</v>
      </c>
      <c r="L187" s="41">
        <f>=(2.04*D187+246.4)*(1.1*(G187+H187)+186)</f>
        <v>155863.032</v>
      </c>
      <c r="M187" s="42" t="s"/>
      <c r="N187" s="42" t="s">
        <v>61</v>
      </c>
      <c r="O187" s="38" t="s">
        <v>272</v>
      </c>
      <c r="P187" s="121" t="s"/>
      <c r="Q187" s="121" t="s"/>
      <c r="R187" s="121" t="s"/>
      <c r="S187" s="38" t="s">
        <v>805</v>
      </c>
    </row>
    <row r="188" spans="1:19" ht="13.55" hidden="1" customHeight="1">
      <c r="A188" s="38" t="s">
        <v>806</v>
      </c>
      <c r="B188" s="38" t="s">
        <v>807</v>
      </c>
      <c r="C188" s="38" t="s">
        <v>276</v>
      </c>
      <c r="D188" s="39">
        <v>69</v>
      </c>
      <c r="E188" s="39">
        <v>80</v>
      </c>
      <c r="F188" s="39">
        <v>86</v>
      </c>
      <c r="G188" s="39">
        <v>91</v>
      </c>
      <c r="H188" s="39">
        <v>105</v>
      </c>
      <c r="I188" s="39">
        <v>76</v>
      </c>
      <c r="J188" s="40">
        <f>=SUM(D188:I188)</f>
        <v>507</v>
      </c>
      <c r="K188" s="17">
        <f>=J188-MIN(E188,F188)</f>
        <v>427</v>
      </c>
      <c r="L188" s="41">
        <f>=(2.04*D188+246.4)*(1.1*(G188+H188)+186)</f>
        <v>155483.456</v>
      </c>
      <c r="M188" s="42" t="s"/>
      <c r="N188" s="42" t="s">
        <v>61</v>
      </c>
      <c r="O188" s="38" t="s">
        <v>277</v>
      </c>
      <c r="P188" s="121" t="s"/>
      <c r="Q188" s="121" t="s"/>
      <c r="R188" s="121" t="s"/>
      <c r="S188" s="38" t="s">
        <v>808</v>
      </c>
    </row>
    <row r="189" spans="1:19" ht="13.55" hidden="1" customHeight="1">
      <c r="A189" s="38" t="s">
        <v>809</v>
      </c>
      <c r="B189" s="38" t="s">
        <v>810</v>
      </c>
      <c r="C189" s="38" t="s">
        <v>144</v>
      </c>
      <c r="D189" s="39">
        <v>89</v>
      </c>
      <c r="E189" s="39">
        <v>89</v>
      </c>
      <c r="F189" s="39">
        <v>39</v>
      </c>
      <c r="G189" s="39">
        <v>96</v>
      </c>
      <c r="H189" s="39">
        <v>65</v>
      </c>
      <c r="I189" s="39">
        <v>88</v>
      </c>
      <c r="J189" s="40">
        <f>=SUM(D189:I189)</f>
        <v>466</v>
      </c>
      <c r="K189" s="17">
        <f>=J189-MIN(E189,F189)</f>
        <v>427</v>
      </c>
      <c r="L189" s="41">
        <f>=(2.04*D189+246.4)*(1.1*(G189+H189)+186)</f>
        <v>155392.276</v>
      </c>
      <c r="M189" s="76" t="s"/>
      <c r="N189" s="76" t="s">
        <v>61</v>
      </c>
      <c r="O189" s="38" t="s">
        <v>263</v>
      </c>
      <c r="P189" s="121" t="s"/>
      <c r="Q189" s="121" t="s"/>
      <c r="R189" s="121" t="s"/>
      <c r="S189" s="38" t="s">
        <v>811</v>
      </c>
    </row>
    <row r="190" spans="1:19" ht="13.55" customHeight="1">
      <c r="A190" s="154" t="s">
        <v>445</v>
      </c>
      <c r="B190" s="154" t="s">
        <v>446</v>
      </c>
      <c r="C190" s="154" t="s">
        <v>447</v>
      </c>
      <c r="D190" s="155">
        <v>125</v>
      </c>
      <c r="E190" s="155">
        <v>100</v>
      </c>
      <c r="F190" s="155">
        <v>98</v>
      </c>
      <c r="G190" s="155">
        <v>100</v>
      </c>
      <c r="H190" s="155">
        <v>81</v>
      </c>
      <c r="I190" s="156">
        <v>105</v>
      </c>
      <c r="J190" s="157">
        <f>=SUM(D190:I190)</f>
        <v>609</v>
      </c>
      <c r="K190" s="158">
        <f>=J190-MIN(E190,F190)</f>
        <v>511</v>
      </c>
      <c r="L190" s="129">
        <f>=(2.04*D190+246.4)*(1.1*(G190+H190)+186)</f>
        <v>193089.14</v>
      </c>
      <c r="M190" s="220">
        <v>218</v>
      </c>
      <c r="N190" s="172" t="s">
        <v>56</v>
      </c>
      <c r="O190" s="154" t="s">
        <v>448</v>
      </c>
      <c r="P190" s="160" t="s"/>
      <c r="Q190" s="160" t="s"/>
      <c r="R190" s="160" t="s"/>
      <c r="S190" s="154" t="s">
        <v>449</v>
      </c>
    </row>
    <row r="191" spans="1:19" ht="13.55" hidden="1" customHeight="1">
      <c r="A191" s="38" t="s">
        <v>816</v>
      </c>
      <c r="B191" s="38" t="s">
        <v>817</v>
      </c>
      <c r="C191" s="38" t="s">
        <v>267</v>
      </c>
      <c r="D191" s="39">
        <v>107</v>
      </c>
      <c r="E191" s="39">
        <v>126</v>
      </c>
      <c r="F191" s="39">
        <v>66</v>
      </c>
      <c r="G191" s="39">
        <v>93</v>
      </c>
      <c r="H191" s="39">
        <v>56</v>
      </c>
      <c r="I191" s="39">
        <v>44</v>
      </c>
      <c r="J191" s="40">
        <f>=SUM(D191:I191)</f>
        <v>492</v>
      </c>
      <c r="K191" s="17">
        <f>=J191-MIN(E191,F191)</f>
        <v>426</v>
      </c>
      <c r="L191" s="41">
        <f>=(2.04*D191+246.4)*(1.1*(G191+H191)+186)</f>
        <v>162591.532</v>
      </c>
      <c r="M191" s="76" t="s"/>
      <c r="N191" s="76" t="s">
        <v>61</v>
      </c>
      <c r="O191" s="38" t="s">
        <v>268</v>
      </c>
      <c r="P191" s="121" t="s"/>
      <c r="Q191" s="121" t="s"/>
      <c r="R191" s="121" t="s"/>
      <c r="S191" s="38" t="s">
        <v>818</v>
      </c>
    </row>
    <row r="192" spans="1:19" ht="13.55" hidden="1" customHeight="1">
      <c r="A192" s="38" t="s">
        <v>819</v>
      </c>
      <c r="B192" s="38" t="s">
        <v>820</v>
      </c>
      <c r="C192" s="38" t="s">
        <v>26</v>
      </c>
      <c r="D192" s="39">
        <v>119</v>
      </c>
      <c r="E192" s="39">
        <v>81</v>
      </c>
      <c r="F192" s="39">
        <v>76</v>
      </c>
      <c r="G192" s="39">
        <v>93</v>
      </c>
      <c r="H192" s="39">
        <v>76</v>
      </c>
      <c r="I192" s="39">
        <v>56</v>
      </c>
      <c r="J192" s="40">
        <f>=SUM(D192:I192)</f>
        <v>501</v>
      </c>
      <c r="K192" s="17">
        <f>=J192-MIN(E192,F192)</f>
        <v>425</v>
      </c>
      <c r="L192" s="41">
        <f>=(2.04*D192+246.4)*(1.1*(G192+H192)+186)</f>
        <v>181918.604</v>
      </c>
      <c r="M192" s="76" t="s"/>
      <c r="N192" s="76" t="s">
        <v>61</v>
      </c>
      <c r="O192" s="38" t="s">
        <v>281</v>
      </c>
      <c r="P192" s="121" t="s"/>
      <c r="Q192" s="121" t="s"/>
      <c r="R192" s="121" t="s"/>
      <c r="S192" s="38" t="s">
        <v>821</v>
      </c>
    </row>
    <row r="193" spans="1:19" ht="13.55" hidden="1" customHeight="1">
      <c r="A193" s="38" t="s">
        <v>822</v>
      </c>
      <c r="B193" s="38" t="s">
        <v>823</v>
      </c>
      <c r="C193" s="38" t="s">
        <v>308</v>
      </c>
      <c r="D193" s="39">
        <v>85</v>
      </c>
      <c r="E193" s="39">
        <v>98</v>
      </c>
      <c r="F193" s="39">
        <v>34</v>
      </c>
      <c r="G193" s="39">
        <v>109</v>
      </c>
      <c r="H193" s="39">
        <v>93</v>
      </c>
      <c r="I193" s="39">
        <v>40</v>
      </c>
      <c r="J193" s="40">
        <f>=SUM(D193:I193)</f>
        <v>459</v>
      </c>
      <c r="K193" s="17">
        <f>=J193-MIN(E193,F193)</f>
        <v>425</v>
      </c>
      <c r="L193" s="41">
        <f>=(2.04*D193+246.4)*(1.1*(G193+H193)+186)</f>
        <v>171362.36</v>
      </c>
      <c r="M193" s="76" t="s"/>
      <c r="N193" s="76" t="s">
        <v>61</v>
      </c>
      <c r="O193" s="38" t="s">
        <v>309</v>
      </c>
      <c r="P193" s="121" t="s"/>
      <c r="Q193" s="121" t="s"/>
      <c r="R193" s="121" t="s"/>
      <c r="S193" s="38" t="s">
        <v>824</v>
      </c>
    </row>
    <row r="194" spans="1:19" ht="13.55" hidden="1" customHeight="1">
      <c r="A194" s="38" t="s">
        <v>825</v>
      </c>
      <c r="B194" s="38" t="s">
        <v>826</v>
      </c>
      <c r="C194" s="38" t="s">
        <v>238</v>
      </c>
      <c r="D194" s="39">
        <v>85</v>
      </c>
      <c r="E194" s="39">
        <v>80</v>
      </c>
      <c r="F194" s="39">
        <v>27</v>
      </c>
      <c r="G194" s="39">
        <v>93</v>
      </c>
      <c r="H194" s="39">
        <v>79</v>
      </c>
      <c r="I194" s="39">
        <v>88</v>
      </c>
      <c r="J194" s="40">
        <f>=SUM(D194:I194)</f>
        <v>452</v>
      </c>
      <c r="K194" s="17">
        <f>=J194-MIN(E194,F194)</f>
        <v>425</v>
      </c>
      <c r="L194" s="41">
        <f>=(2.04*D194+246.4)*(1.1*(G194+H194)+186)</f>
        <v>157508.96</v>
      </c>
      <c r="M194" s="76" t="s"/>
      <c r="N194" s="76" t="s">
        <v>61</v>
      </c>
      <c r="O194" s="38" t="s">
        <v>295</v>
      </c>
      <c r="P194" s="121" t="s"/>
      <c r="Q194" s="121" t="s"/>
      <c r="R194" s="121" t="s"/>
      <c r="S194" s="38" t="s">
        <v>827</v>
      </c>
    </row>
    <row r="195" spans="1:19" ht="13.55" hidden="1" customHeight="1">
      <c r="A195" s="38" t="s">
        <v>828</v>
      </c>
      <c r="B195" s="38" t="s">
        <v>829</v>
      </c>
      <c r="C195" s="38" t="s">
        <v>41</v>
      </c>
      <c r="D195" s="39">
        <v>75</v>
      </c>
      <c r="E195" s="39">
        <v>90</v>
      </c>
      <c r="F195" s="39">
        <v>90</v>
      </c>
      <c r="G195" s="39">
        <v>84</v>
      </c>
      <c r="H195" s="39">
        <v>84</v>
      </c>
      <c r="I195" s="39">
        <v>92</v>
      </c>
      <c r="J195" s="40">
        <f>=SUM(D195:I195)</f>
        <v>515</v>
      </c>
      <c r="K195" s="17">
        <f>=J195-MIN(E195,F195)</f>
        <v>425</v>
      </c>
      <c r="L195" s="41">
        <f>=(2.04*D195+246.4)*(1.1*(G195+H195)+186)</f>
        <v>148097.52</v>
      </c>
      <c r="M195" s="76" t="s"/>
      <c r="N195" s="76" t="s">
        <v>61</v>
      </c>
      <c r="O195" s="38" t="s">
        <v>299</v>
      </c>
      <c r="P195" s="121" t="s"/>
      <c r="Q195" s="121" t="s"/>
      <c r="R195" s="121" t="s"/>
      <c r="S195" s="38" t="s">
        <v>830</v>
      </c>
    </row>
    <row r="196" spans="1:19" ht="13.55" hidden="1" customHeight="1">
      <c r="A196" s="38" t="s">
        <v>831</v>
      </c>
      <c r="B196" s="38" t="s">
        <v>832</v>
      </c>
      <c r="C196" s="38" t="s">
        <v>303</v>
      </c>
      <c r="D196" s="39">
        <v>68</v>
      </c>
      <c r="E196" s="39">
        <v>92</v>
      </c>
      <c r="F196" s="39">
        <v>92</v>
      </c>
      <c r="G196" s="39">
        <v>83</v>
      </c>
      <c r="H196" s="39">
        <v>90</v>
      </c>
      <c r="I196" s="39">
        <v>92</v>
      </c>
      <c r="J196" s="40">
        <f>=SUM(D196:I196)</f>
        <v>517</v>
      </c>
      <c r="K196" s="17">
        <f>=J196-MIN(E196,F196)</f>
        <v>425</v>
      </c>
      <c r="L196" s="41">
        <f>=(2.04*D196+246.4)*(1.1*(G196+H196)+186)</f>
        <v>144920.656</v>
      </c>
      <c r="M196" s="76" t="s"/>
      <c r="N196" s="76" t="s">
        <v>61</v>
      </c>
      <c r="O196" s="38" t="s">
        <v>304</v>
      </c>
      <c r="P196" s="121" t="s"/>
      <c r="Q196" s="121" t="s"/>
      <c r="R196" s="121" t="s"/>
      <c r="S196" s="38" t="s">
        <v>833</v>
      </c>
    </row>
    <row r="197" spans="1:19" ht="13.55" hidden="1" customHeight="1">
      <c r="A197" s="38" t="s">
        <v>834</v>
      </c>
      <c r="B197" s="38" t="s">
        <v>835</v>
      </c>
      <c r="C197" s="38" t="s">
        <v>120</v>
      </c>
      <c r="D197" s="39">
        <v>64</v>
      </c>
      <c r="E197" s="39">
        <v>93</v>
      </c>
      <c r="F197" s="39">
        <v>86</v>
      </c>
      <c r="G197" s="39">
        <v>90</v>
      </c>
      <c r="H197" s="39">
        <v>90</v>
      </c>
      <c r="I197" s="39">
        <v>88</v>
      </c>
      <c r="J197" s="40">
        <f>=SUM(D197:I197)</f>
        <v>511</v>
      </c>
      <c r="K197" s="17">
        <f>=J197-MIN(E197,F197)</f>
        <v>425</v>
      </c>
      <c r="L197" s="41">
        <f>=(2.04*D197+246.4)*(1.1*(G197+H197)+186)</f>
        <v>144752.64</v>
      </c>
      <c r="M197" s="42" t="s"/>
      <c r="N197" s="42" t="s">
        <v>61</v>
      </c>
      <c r="O197" s="38" t="s">
        <v>836</v>
      </c>
      <c r="P197" s="121" t="s"/>
      <c r="Q197" s="121" t="s"/>
      <c r="R197" s="121" t="s"/>
      <c r="S197" s="38" t="s">
        <v>837</v>
      </c>
    </row>
    <row r="198" spans="1:19" ht="13.55" hidden="1" customHeight="1">
      <c r="A198" s="38" t="s">
        <v>838</v>
      </c>
      <c r="B198" s="38" t="s">
        <v>839</v>
      </c>
      <c r="C198" s="38" t="s">
        <v>290</v>
      </c>
      <c r="D198" s="39">
        <v>108</v>
      </c>
      <c r="E198" s="39">
        <v>96</v>
      </c>
      <c r="F198" s="39">
        <v>38</v>
      </c>
      <c r="G198" s="39">
        <v>82</v>
      </c>
      <c r="H198" s="39">
        <v>58</v>
      </c>
      <c r="I198" s="39">
        <v>80</v>
      </c>
      <c r="J198" s="40">
        <f>=SUM(D198:I198)</f>
        <v>462</v>
      </c>
      <c r="K198" s="17">
        <f>=J198-MIN(E198,F198)</f>
        <v>424</v>
      </c>
      <c r="L198" s="41">
        <f>=(2.04*D198+246.4)*(1.1*(G198+H198)+186)</f>
        <v>158684.8</v>
      </c>
      <c r="M198" s="76" t="s"/>
      <c r="N198" s="76" t="s">
        <v>61</v>
      </c>
      <c r="O198" s="38" t="s">
        <v>291</v>
      </c>
      <c r="P198" s="121" t="s"/>
      <c r="Q198" s="121" t="s"/>
      <c r="R198" s="121" t="s"/>
      <c r="S198" s="38" t="s">
        <v>840</v>
      </c>
    </row>
    <row r="199" spans="1:19" ht="13.55" hidden="1" customHeight="1">
      <c r="A199" s="38" t="s">
        <v>841</v>
      </c>
      <c r="B199" s="38" t="s">
        <v>842</v>
      </c>
      <c r="C199" s="38" t="s">
        <v>36</v>
      </c>
      <c r="D199" s="39">
        <v>86</v>
      </c>
      <c r="E199" s="39">
        <v>106</v>
      </c>
      <c r="F199" s="39">
        <v>106</v>
      </c>
      <c r="G199" s="39">
        <v>74</v>
      </c>
      <c r="H199" s="39">
        <v>70</v>
      </c>
      <c r="I199" s="39">
        <v>88</v>
      </c>
      <c r="J199" s="40">
        <f>=SUM(D199:I199)</f>
        <v>530</v>
      </c>
      <c r="K199" s="17">
        <f>=J199-MIN(E199,F199)</f>
        <v>424</v>
      </c>
      <c r="L199" s="41">
        <f>=(2.04*D199+246.4)*(1.1*(G199+H199)+186)</f>
        <v>145281.696</v>
      </c>
      <c r="M199" s="76" t="s"/>
      <c r="N199" s="76" t="s">
        <v>61</v>
      </c>
      <c r="O199" s="38" t="s">
        <v>313</v>
      </c>
      <c r="P199" s="121" t="s"/>
      <c r="Q199" s="121" t="s"/>
      <c r="R199" s="121" t="s"/>
      <c r="S199" s="38" t="s">
        <v>843</v>
      </c>
    </row>
    <row r="200" spans="1:19" ht="13.55" hidden="1" customHeight="1">
      <c r="A200" s="38" t="s">
        <v>848</v>
      </c>
      <c r="B200" s="38" t="s">
        <v>849</v>
      </c>
      <c r="C200" s="38" t="s">
        <v>331</v>
      </c>
      <c r="D200" s="39">
        <v>99</v>
      </c>
      <c r="E200" s="39">
        <v>89</v>
      </c>
      <c r="F200" s="39">
        <v>33</v>
      </c>
      <c r="G200" s="39">
        <v>87</v>
      </c>
      <c r="H200" s="39">
        <v>71</v>
      </c>
      <c r="I200" s="39">
        <v>76</v>
      </c>
      <c r="J200" s="40">
        <f>=SUM(D200:I200)</f>
        <v>455</v>
      </c>
      <c r="K200" s="17">
        <f>=J200-MIN(E200,F200)</f>
        <v>422</v>
      </c>
      <c r="L200" s="41">
        <f>=(2.04*D200+246.4)*(1.1*(G200+H200)+186)</f>
        <v>161319.928</v>
      </c>
      <c r="M200" s="42" t="s"/>
      <c r="N200" s="42" t="s">
        <v>61</v>
      </c>
      <c r="O200" s="38" t="s">
        <v>332</v>
      </c>
      <c r="P200" s="121" t="s"/>
      <c r="Q200" s="121" t="s"/>
      <c r="R200" s="121" t="s"/>
      <c r="S200" s="38" t="s">
        <v>850</v>
      </c>
    </row>
    <row r="201" spans="1:19" ht="13.55" hidden="1" customHeight="1">
      <c r="A201" s="38" t="s">
        <v>851</v>
      </c>
      <c r="B201" s="38" t="s">
        <v>852</v>
      </c>
      <c r="C201" s="38" t="s">
        <v>341</v>
      </c>
      <c r="D201" s="39">
        <v>84</v>
      </c>
      <c r="E201" s="39">
        <v>88</v>
      </c>
      <c r="F201" s="39">
        <v>83</v>
      </c>
      <c r="G201" s="39">
        <v>83</v>
      </c>
      <c r="H201" s="39">
        <v>83</v>
      </c>
      <c r="I201" s="39">
        <v>84</v>
      </c>
      <c r="J201" s="40">
        <f>=SUM(D201:I201)</f>
        <v>505</v>
      </c>
      <c r="K201" s="17">
        <f>=J201-MIN(E201,F201)</f>
        <v>422</v>
      </c>
      <c r="L201" s="41">
        <f>=(2.04*D201+246.4)*(1.1*(G201+H201)+186)</f>
        <v>153986.336</v>
      </c>
      <c r="M201" s="76" t="s"/>
      <c r="N201" s="76" t="s">
        <v>61</v>
      </c>
      <c r="O201" s="38" t="s">
        <v>342</v>
      </c>
      <c r="P201" s="121" t="s"/>
      <c r="Q201" s="121" t="s"/>
      <c r="R201" s="121" t="s"/>
      <c r="S201" s="38" t="s">
        <v>853</v>
      </c>
    </row>
    <row r="202" spans="1:19" ht="13.55" hidden="1" customHeight="1">
      <c r="A202" s="38" t="s">
        <v>854</v>
      </c>
      <c r="B202" s="38" t="s">
        <v>855</v>
      </c>
      <c r="C202" s="38" t="s">
        <v>144</v>
      </c>
      <c r="D202" s="39">
        <v>90</v>
      </c>
      <c r="E202" s="39">
        <v>40</v>
      </c>
      <c r="F202" s="39">
        <v>106</v>
      </c>
      <c r="G202" s="39">
        <v>60</v>
      </c>
      <c r="H202" s="39">
        <v>74</v>
      </c>
      <c r="I202" s="39">
        <v>92</v>
      </c>
      <c r="J202" s="40">
        <f>=SUM(D202:I202)</f>
        <v>462</v>
      </c>
      <c r="K202" s="17">
        <f>=J202-MIN(E202,F202)</f>
        <v>422</v>
      </c>
      <c r="L202" s="41">
        <f>=(2.04*D202+246.4)*(1.1*(G202+H202)+186)</f>
        <v>143362</v>
      </c>
      <c r="M202" s="76" t="s"/>
      <c r="N202" s="76" t="s">
        <v>61</v>
      </c>
      <c r="O202" s="38" t="s">
        <v>317</v>
      </c>
      <c r="P202" s="121" t="s"/>
      <c r="Q202" s="121" t="s"/>
      <c r="R202" s="121" t="s"/>
      <c r="S202" s="38" t="s">
        <v>856</v>
      </c>
    </row>
    <row r="203" spans="1:19" ht="13.55" hidden="1" customHeight="1">
      <c r="A203" s="38" t="s">
        <v>857</v>
      </c>
      <c r="B203" s="38" t="s">
        <v>858</v>
      </c>
      <c r="C203" s="38" t="s">
        <v>336</v>
      </c>
      <c r="D203" s="39">
        <v>75</v>
      </c>
      <c r="E203" s="39">
        <v>45</v>
      </c>
      <c r="F203" s="39">
        <v>101</v>
      </c>
      <c r="G203" s="39">
        <v>59</v>
      </c>
      <c r="H203" s="39">
        <v>87</v>
      </c>
      <c r="I203" s="39">
        <v>100</v>
      </c>
      <c r="J203" s="40">
        <f>=SUM(D203:I203)</f>
        <v>467</v>
      </c>
      <c r="K203" s="17">
        <f>=J203-MIN(E203,F203)</f>
        <v>422</v>
      </c>
      <c r="L203" s="41">
        <f>=(2.04*D203+246.4)*(1.1*(G203+H203)+186)</f>
        <v>138432.04</v>
      </c>
      <c r="M203" s="42" t="s"/>
      <c r="N203" s="42" t="s">
        <v>61</v>
      </c>
      <c r="O203" s="38" t="s">
        <v>337</v>
      </c>
      <c r="P203" s="121" t="s"/>
      <c r="Q203" s="121" t="s"/>
      <c r="R203" s="121" t="s"/>
      <c r="S203" s="38" t="s">
        <v>859</v>
      </c>
    </row>
    <row r="204" spans="1:19" ht="13.55" hidden="1" customHeight="1">
      <c r="A204" s="38" t="s">
        <v>860</v>
      </c>
      <c r="B204" s="38" t="s">
        <v>861</v>
      </c>
      <c r="C204" s="38" t="s">
        <v>572</v>
      </c>
      <c r="D204" s="39">
        <v>80</v>
      </c>
      <c r="E204" s="39">
        <v>117</v>
      </c>
      <c r="F204" s="39">
        <v>110</v>
      </c>
      <c r="G204" s="39">
        <v>74</v>
      </c>
      <c r="H204" s="39">
        <v>59</v>
      </c>
      <c r="I204" s="39">
        <v>92</v>
      </c>
      <c r="J204" s="40">
        <f>=SUM(D204:I204)</f>
        <v>532</v>
      </c>
      <c r="K204" s="17">
        <f>=J204-MIN(E204,F204)</f>
        <v>422</v>
      </c>
      <c r="L204" s="41">
        <f>=(2.04*D204+246.4)*(1.1*(G204+H204)+186)</f>
        <v>136110.08</v>
      </c>
      <c r="M204" s="76" t="s"/>
      <c r="N204" s="76" t="s">
        <v>61</v>
      </c>
      <c r="O204" s="38" t="s">
        <v>322</v>
      </c>
      <c r="P204" s="121" t="s"/>
      <c r="Q204" s="121" t="s"/>
      <c r="R204" s="121" t="s"/>
      <c r="S204" s="38" t="s">
        <v>862</v>
      </c>
    </row>
    <row r="205" spans="1:19" ht="13.55" hidden="1" customHeight="1">
      <c r="A205" s="38" t="s">
        <v>863</v>
      </c>
      <c r="B205" s="38" t="s">
        <v>864</v>
      </c>
      <c r="C205" s="38" t="s">
        <v>276</v>
      </c>
      <c r="D205" s="39">
        <v>89</v>
      </c>
      <c r="E205" s="39">
        <v>99</v>
      </c>
      <c r="F205" s="39">
        <v>94</v>
      </c>
      <c r="G205" s="39">
        <v>103</v>
      </c>
      <c r="H205" s="39">
        <v>78</v>
      </c>
      <c r="I205" s="39">
        <v>52</v>
      </c>
      <c r="J205" s="40">
        <f>=SUM(D205:I205)</f>
        <v>515</v>
      </c>
      <c r="K205" s="17">
        <f>=J205-MIN(E205,F205)</f>
        <v>421</v>
      </c>
      <c r="L205" s="41">
        <f>=(2.04*D205+246.4)*(1.1*(G205+H205)+186)</f>
        <v>164807.396</v>
      </c>
      <c r="M205" s="42" t="s"/>
      <c r="N205" s="42" t="s">
        <v>61</v>
      </c>
      <c r="O205" s="38" t="s">
        <v>346</v>
      </c>
      <c r="P205" s="121" t="s"/>
      <c r="Q205" s="121" t="s"/>
      <c r="R205" s="121" t="s"/>
      <c r="S205" s="38" t="s">
        <v>865</v>
      </c>
    </row>
    <row r="206" spans="1:19" ht="13.55" hidden="1" customHeight="1">
      <c r="A206" s="38" t="s">
        <v>866</v>
      </c>
      <c r="B206" s="38" t="s">
        <v>867</v>
      </c>
      <c r="C206" s="38" t="s">
        <v>350</v>
      </c>
      <c r="D206" s="39">
        <v>74</v>
      </c>
      <c r="E206" s="39">
        <v>106</v>
      </c>
      <c r="F206" s="39">
        <v>101</v>
      </c>
      <c r="G206" s="39">
        <v>89</v>
      </c>
      <c r="H206" s="39">
        <v>76</v>
      </c>
      <c r="I206" s="39">
        <v>76</v>
      </c>
      <c r="J206" s="40">
        <f>=SUM(D206:I206)</f>
        <v>522</v>
      </c>
      <c r="K206" s="17">
        <f>=J206-MIN(E206,F206)</f>
        <v>421</v>
      </c>
      <c r="L206" s="41">
        <f>=(2.04*D206+246.4)*(1.1*(G206+H206)+186)</f>
        <v>146029.8</v>
      </c>
      <c r="M206" s="76" t="s"/>
      <c r="N206" s="76" t="s">
        <v>61</v>
      </c>
      <c r="O206" s="38" t="s">
        <v>351</v>
      </c>
      <c r="P206" s="121" t="s"/>
      <c r="Q206" s="121" t="s"/>
      <c r="R206" s="121" t="s"/>
      <c r="S206" s="38" t="s">
        <v>868</v>
      </c>
    </row>
    <row r="207" spans="1:19" ht="13.55" hidden="1" customHeight="1">
      <c r="A207" s="38" t="s">
        <v>869</v>
      </c>
      <c r="B207" s="38" t="s">
        <v>870</v>
      </c>
      <c r="C207" s="38" t="s">
        <v>355</v>
      </c>
      <c r="D207" s="39">
        <v>89</v>
      </c>
      <c r="E207" s="39">
        <v>79</v>
      </c>
      <c r="F207" s="39">
        <v>79</v>
      </c>
      <c r="G207" s="39">
        <v>83</v>
      </c>
      <c r="H207" s="39">
        <v>109</v>
      </c>
      <c r="I207" s="39">
        <v>60</v>
      </c>
      <c r="J207" s="40">
        <f>=SUM(D207:I207)</f>
        <v>499</v>
      </c>
      <c r="K207" s="17">
        <f>=J207-MIN(E207,F207)</f>
        <v>420</v>
      </c>
      <c r="L207" s="41">
        <f>=(2.04*D207+246.4)*(1.1*(G207+H207)+186)</f>
        <v>169985.712</v>
      </c>
      <c r="M207" s="76" t="s"/>
      <c r="N207" s="76" t="s">
        <v>61</v>
      </c>
      <c r="O207" s="38" t="s">
        <v>356</v>
      </c>
      <c r="P207" s="121" t="s"/>
      <c r="Q207" s="121" t="s"/>
      <c r="R207" s="121" t="s"/>
      <c r="S207" s="38" t="s">
        <v>871</v>
      </c>
    </row>
    <row r="208" spans="1:19" ht="13.55" hidden="1" customHeight="1">
      <c r="A208" s="38" t="s">
        <v>872</v>
      </c>
      <c r="B208" s="38" t="s">
        <v>873</v>
      </c>
      <c r="C208" s="38" t="s">
        <v>360</v>
      </c>
      <c r="D208" s="39">
        <v>90</v>
      </c>
      <c r="E208" s="39">
        <v>92</v>
      </c>
      <c r="F208" s="39">
        <v>92</v>
      </c>
      <c r="G208" s="39">
        <v>97</v>
      </c>
      <c r="H208" s="39">
        <v>76</v>
      </c>
      <c r="I208" s="39">
        <v>64</v>
      </c>
      <c r="J208" s="40">
        <f>=SUM(D208:I208)</f>
        <v>511</v>
      </c>
      <c r="K208" s="17">
        <f>=J208-MIN(E208,F208)</f>
        <v>419</v>
      </c>
      <c r="L208" s="41">
        <f>=(2.04*D208+246.4)*(1.1*(G208+H208)+186)</f>
        <v>161809</v>
      </c>
      <c r="M208" s="76" t="s"/>
      <c r="N208" s="76" t="s">
        <v>61</v>
      </c>
      <c r="O208" s="38" t="s">
        <v>361</v>
      </c>
      <c r="P208" s="121" t="s"/>
      <c r="Q208" s="121" t="s"/>
      <c r="R208" s="121" t="s"/>
      <c r="S208" s="38" t="s">
        <v>874</v>
      </c>
    </row>
    <row r="209" spans="1:19" ht="13.55" hidden="1" customHeight="1">
      <c r="A209" s="38" t="s">
        <v>875</v>
      </c>
      <c r="B209" s="38" t="s">
        <v>876</v>
      </c>
      <c r="C209" s="38" t="s">
        <v>46</v>
      </c>
      <c r="D209" s="39">
        <v>86</v>
      </c>
      <c r="E209" s="39">
        <v>127</v>
      </c>
      <c r="F209" s="39">
        <v>62</v>
      </c>
      <c r="G209" s="39">
        <v>89</v>
      </c>
      <c r="H209" s="39">
        <v>56</v>
      </c>
      <c r="I209" s="39">
        <v>60</v>
      </c>
      <c r="J209" s="40">
        <f>=SUM(D209:I209)</f>
        <v>480</v>
      </c>
      <c r="K209" s="17">
        <f>=J209-MIN(E209,F209)</f>
        <v>418</v>
      </c>
      <c r="L209" s="41">
        <f>=(2.04*D209+246.4)*(1.1*(G209+H209)+186)</f>
        <v>145745.72</v>
      </c>
      <c r="M209" s="42" t="s"/>
      <c r="N209" s="42" t="s">
        <v>61</v>
      </c>
      <c r="O209" s="38" t="s">
        <v>366</v>
      </c>
      <c r="P209" s="121" t="s"/>
      <c r="Q209" s="121" t="s"/>
      <c r="R209" s="121" t="s"/>
      <c r="S209" s="38" t="s">
        <v>877</v>
      </c>
    </row>
    <row r="210" spans="1:19" ht="13.55" hidden="1" customHeight="1">
      <c r="A210" s="38" t="s">
        <v>878</v>
      </c>
      <c r="B210" s="38" t="s">
        <v>879</v>
      </c>
      <c r="C210" s="38" t="s">
        <v>381</v>
      </c>
      <c r="D210" s="39">
        <v>78</v>
      </c>
      <c r="E210" s="39">
        <v>91</v>
      </c>
      <c r="F210" s="39">
        <v>88</v>
      </c>
      <c r="G210" s="39">
        <v>81</v>
      </c>
      <c r="H210" s="39">
        <v>71</v>
      </c>
      <c r="I210" s="39">
        <v>96</v>
      </c>
      <c r="J210" s="40">
        <f>=SUM(D210:I210)</f>
        <v>505</v>
      </c>
      <c r="K210" s="17">
        <f>=J210-MIN(E210,F210)</f>
        <v>417</v>
      </c>
      <c r="L210" s="41">
        <f>=(2.04*D210+246.4)*(1.1*(G210+H210)+186)</f>
        <v>143229.664</v>
      </c>
      <c r="M210" s="76" t="s"/>
      <c r="N210" s="76" t="s">
        <v>61</v>
      </c>
      <c r="O210" s="38" t="s">
        <v>382</v>
      </c>
      <c r="P210" s="121" t="s"/>
      <c r="Q210" s="121" t="s"/>
      <c r="R210" s="121" t="s"/>
      <c r="S210" s="38" t="s">
        <v>880</v>
      </c>
    </row>
    <row r="211" spans="1:19" ht="13.55" hidden="1" customHeight="1">
      <c r="A211" s="38" t="s">
        <v>881</v>
      </c>
      <c r="B211" s="38" t="s">
        <v>882</v>
      </c>
      <c r="C211" s="38" t="s">
        <v>85</v>
      </c>
      <c r="D211" s="39">
        <v>126</v>
      </c>
      <c r="E211" s="39">
        <v>74</v>
      </c>
      <c r="F211" s="39">
        <v>33</v>
      </c>
      <c r="G211" s="39">
        <v>94</v>
      </c>
      <c r="H211" s="39">
        <v>54</v>
      </c>
      <c r="I211" s="39">
        <v>68</v>
      </c>
      <c r="J211" s="40">
        <f>=SUM(D211:I211)</f>
        <v>449</v>
      </c>
      <c r="K211" s="17">
        <f>=J211-MIN(E211,F211)</f>
        <v>416</v>
      </c>
      <c r="L211" s="41">
        <f>=(2.04*D211+246.4)*(1.1*(G211+H211)+186)</f>
        <v>175599.872</v>
      </c>
      <c r="M211" s="76" t="s"/>
      <c r="N211" s="76" t="s">
        <v>61</v>
      </c>
      <c r="O211" s="38" t="s">
        <v>377</v>
      </c>
      <c r="P211" s="121" t="s"/>
      <c r="Q211" s="121" t="s"/>
      <c r="R211" s="121" t="s"/>
      <c r="S211" s="38" t="s">
        <v>883</v>
      </c>
    </row>
    <row r="212" spans="1:19" ht="13.55" hidden="1" customHeight="1">
      <c r="A212" s="38" t="s">
        <v>884</v>
      </c>
      <c r="B212" s="38" t="s">
        <v>885</v>
      </c>
      <c r="C212" s="38" t="s">
        <v>386</v>
      </c>
      <c r="D212" s="39">
        <v>85</v>
      </c>
      <c r="E212" s="39">
        <v>72</v>
      </c>
      <c r="F212" s="39">
        <v>76</v>
      </c>
      <c r="G212" s="39">
        <v>92</v>
      </c>
      <c r="H212" s="39">
        <v>95</v>
      </c>
      <c r="I212" s="39">
        <v>68</v>
      </c>
      <c r="J212" s="40">
        <f>=SUM(D212:I212)</f>
        <v>488</v>
      </c>
      <c r="K212" s="17">
        <f>=J212-MIN(E212,F212)</f>
        <v>416</v>
      </c>
      <c r="L212" s="41">
        <f>=(2.04*D212+246.4)*(1.1*(G212+H212)+186)</f>
        <v>164435.66</v>
      </c>
      <c r="M212" s="42" t="s"/>
      <c r="N212" s="42" t="s">
        <v>61</v>
      </c>
      <c r="O212" s="38" t="s">
        <v>387</v>
      </c>
      <c r="P212" s="121" t="s"/>
      <c r="Q212" s="121" t="s"/>
      <c r="R212" s="121" t="s"/>
      <c r="S212" s="38" t="s">
        <v>886</v>
      </c>
    </row>
    <row r="213" spans="1:19" ht="13.55" hidden="1" customHeight="1">
      <c r="A213" s="38" t="s">
        <v>887</v>
      </c>
      <c r="B213" s="38" t="s">
        <v>888</v>
      </c>
      <c r="C213" s="38" t="s">
        <v>18</v>
      </c>
      <c r="D213" s="39">
        <v>73</v>
      </c>
      <c r="E213" s="39">
        <v>99</v>
      </c>
      <c r="F213" s="39">
        <v>38</v>
      </c>
      <c r="G213" s="39">
        <v>98</v>
      </c>
      <c r="H213" s="39">
        <v>74</v>
      </c>
      <c r="I213" s="39">
        <v>72</v>
      </c>
      <c r="J213" s="40">
        <f>=SUM(D213:I213)</f>
        <v>454</v>
      </c>
      <c r="K213" s="17">
        <f>=J213-MIN(E213,F213)</f>
        <v>416</v>
      </c>
      <c r="L213" s="41">
        <f>=(2.04*D213+246.4)*(1.1*(G213+H213)+186)</f>
        <v>148324.064</v>
      </c>
      <c r="M213" s="76" t="s"/>
      <c r="N213" s="76" t="s">
        <v>61</v>
      </c>
      <c r="O213" s="38" t="s">
        <v>391</v>
      </c>
      <c r="P213" s="121" t="s"/>
      <c r="Q213" s="121" t="s"/>
      <c r="R213" s="121" t="s"/>
      <c r="S213" s="38" t="s">
        <v>889</v>
      </c>
    </row>
    <row r="214" spans="1:19" ht="13.55" hidden="1" customHeight="1">
      <c r="A214" s="38" t="s">
        <v>890</v>
      </c>
      <c r="B214" s="38" t="s">
        <v>891</v>
      </c>
      <c r="C214" s="38" t="s">
        <v>395</v>
      </c>
      <c r="D214" s="39">
        <v>104</v>
      </c>
      <c r="E214" s="39">
        <v>83</v>
      </c>
      <c r="F214" s="39">
        <v>78</v>
      </c>
      <c r="G214" s="39">
        <v>52</v>
      </c>
      <c r="H214" s="39">
        <v>104</v>
      </c>
      <c r="I214" s="39">
        <v>72</v>
      </c>
      <c r="J214" s="40">
        <f>=SUM(D214:I214)</f>
        <v>493</v>
      </c>
      <c r="K214" s="17">
        <f>=J214-MIN(E214,F214)</f>
        <v>415</v>
      </c>
      <c r="L214" s="41">
        <f>=(2.04*D214+246.4)*(1.1*(G214+H214)+186)</f>
        <v>163981.056</v>
      </c>
      <c r="M214" s="42" t="s"/>
      <c r="N214" s="42" t="s">
        <v>61</v>
      </c>
      <c r="O214" s="38" t="s">
        <v>892</v>
      </c>
      <c r="P214" s="121" t="s"/>
      <c r="Q214" s="121" t="s"/>
      <c r="R214" s="121" t="s"/>
      <c r="S214" s="38" t="s">
        <v>893</v>
      </c>
    </row>
    <row r="215" spans="1:19" ht="13.55" hidden="1" customHeight="1">
      <c r="A215" s="38" t="s">
        <v>894</v>
      </c>
      <c r="B215" s="38" t="s">
        <v>895</v>
      </c>
      <c r="C215" s="38" t="s">
        <v>80</v>
      </c>
      <c r="D215" s="39">
        <v>80</v>
      </c>
      <c r="E215" s="39">
        <v>92</v>
      </c>
      <c r="F215" s="39">
        <v>84</v>
      </c>
      <c r="G215" s="39">
        <v>83</v>
      </c>
      <c r="H215" s="39">
        <v>68</v>
      </c>
      <c r="I215" s="39">
        <v>92</v>
      </c>
      <c r="J215" s="40">
        <f>=SUM(D215:I215)</f>
        <v>499</v>
      </c>
      <c r="K215" s="17">
        <f>=J215-MIN(E215,F215)</f>
        <v>415</v>
      </c>
      <c r="L215" s="41">
        <f>=(2.04*D215+246.4)*(1.1*(G215+H215)+186)</f>
        <v>144220.16</v>
      </c>
      <c r="M215" s="76" t="s"/>
      <c r="N215" s="76" t="s">
        <v>61</v>
      </c>
      <c r="O215" s="38" t="s">
        <v>400</v>
      </c>
      <c r="P215" s="121" t="s"/>
      <c r="Q215" s="121" t="s"/>
      <c r="R215" s="121" t="s"/>
      <c r="S215" s="38" t="s">
        <v>896</v>
      </c>
    </row>
    <row r="216" spans="1:19" ht="13.55" hidden="1" customHeight="1">
      <c r="A216" s="38" t="s">
        <v>897</v>
      </c>
      <c r="B216" s="38" t="s">
        <v>898</v>
      </c>
      <c r="C216" s="38" t="s">
        <v>409</v>
      </c>
      <c r="D216" s="39">
        <v>91</v>
      </c>
      <c r="E216" s="39">
        <v>81</v>
      </c>
      <c r="F216" s="39">
        <v>86</v>
      </c>
      <c r="G216" s="39">
        <v>66</v>
      </c>
      <c r="H216" s="39">
        <v>99</v>
      </c>
      <c r="I216" s="39">
        <v>72</v>
      </c>
      <c r="J216" s="40">
        <f>=SUM(D216:I216)</f>
        <v>495</v>
      </c>
      <c r="K216" s="17">
        <f>=J216-MIN(E216,F216)</f>
        <v>414</v>
      </c>
      <c r="L216" s="41">
        <f>=(2.04*D216+246.4)*(1.1*(G216+H216)+186)</f>
        <v>158774.7</v>
      </c>
      <c r="M216" s="76" t="s"/>
      <c r="N216" s="76" t="s">
        <v>61</v>
      </c>
      <c r="O216" s="38" t="s">
        <v>410</v>
      </c>
      <c r="P216" s="121" t="s"/>
      <c r="Q216" s="121" t="s"/>
      <c r="R216" s="121" t="s"/>
      <c r="S216" s="38" t="s">
        <v>899</v>
      </c>
    </row>
    <row r="217" spans="1:19" ht="13.55" hidden="1" customHeight="1">
      <c r="A217" s="38" t="s">
        <v>900</v>
      </c>
      <c r="B217" s="38" t="s">
        <v>901</v>
      </c>
      <c r="C217" s="38" t="s">
        <v>404</v>
      </c>
      <c r="D217" s="39">
        <v>74</v>
      </c>
      <c r="E217" s="39">
        <v>19</v>
      </c>
      <c r="F217" s="39">
        <v>87</v>
      </c>
      <c r="G217" s="39">
        <v>84</v>
      </c>
      <c r="H217" s="39">
        <v>73</v>
      </c>
      <c r="I217" s="39">
        <v>96</v>
      </c>
      <c r="J217" s="40">
        <f>=SUM(D217:I217)</f>
        <v>433</v>
      </c>
      <c r="K217" s="17">
        <f>=J217-MIN(E217,F217)</f>
        <v>414</v>
      </c>
      <c r="L217" s="41">
        <f>=(2.04*D217+246.4)*(1.1*(G217+H217)+186)</f>
        <v>142533.032</v>
      </c>
      <c r="M217" s="76" t="s"/>
      <c r="N217" s="76" t="s">
        <v>61</v>
      </c>
      <c r="O217" s="38" t="s">
        <v>405</v>
      </c>
      <c r="P217" s="121" t="s"/>
      <c r="Q217" s="121" t="s"/>
      <c r="R217" s="121" t="s"/>
      <c r="S217" s="38" t="s">
        <v>902</v>
      </c>
    </row>
    <row r="218" spans="1:19" ht="13.55" hidden="1" customHeight="1">
      <c r="A218" s="38" t="s">
        <v>903</v>
      </c>
      <c r="B218" s="38" t="s">
        <v>904</v>
      </c>
      <c r="C218" s="38" t="s">
        <v>46</v>
      </c>
      <c r="D218" s="39">
        <v>72</v>
      </c>
      <c r="E218" s="39">
        <v>37</v>
      </c>
      <c r="F218" s="39">
        <v>93</v>
      </c>
      <c r="G218" s="39">
        <v>67</v>
      </c>
      <c r="H218" s="39">
        <v>90</v>
      </c>
      <c r="I218" s="39">
        <v>92</v>
      </c>
      <c r="J218" s="40">
        <f>=SUM(D218:I218)</f>
        <v>451</v>
      </c>
      <c r="K218" s="17">
        <f>=J218-MIN(E218,F218)</f>
        <v>414</v>
      </c>
      <c r="L218" s="41">
        <f>=(2.04*D218+246.4)*(1.1*(G218+H218)+186)</f>
        <v>141069.536</v>
      </c>
      <c r="M218" s="42" t="s"/>
      <c r="N218" s="42" t="s">
        <v>61</v>
      </c>
      <c r="O218" s="38" t="s">
        <v>414</v>
      </c>
      <c r="P218" s="121" t="s"/>
      <c r="Q218" s="121" t="s"/>
      <c r="R218" s="121" t="s"/>
      <c r="S218" s="38" t="s">
        <v>905</v>
      </c>
    </row>
    <row r="219" spans="1:19" ht="13.55" hidden="1" customHeight="1">
      <c r="A219" s="38" t="s">
        <v>906</v>
      </c>
      <c r="B219" s="38" t="s">
        <v>907</v>
      </c>
      <c r="C219" s="38" t="s">
        <v>418</v>
      </c>
      <c r="D219" s="39">
        <v>70</v>
      </c>
      <c r="E219" s="39">
        <v>91</v>
      </c>
      <c r="F219" s="39">
        <v>27</v>
      </c>
      <c r="G219" s="39">
        <v>75</v>
      </c>
      <c r="H219" s="39">
        <v>70</v>
      </c>
      <c r="I219" s="39">
        <v>108</v>
      </c>
      <c r="J219" s="40">
        <f>=SUM(D219:I219)</f>
        <v>441</v>
      </c>
      <c r="K219" s="17">
        <f>=J219-MIN(E219,F219)</f>
        <v>414</v>
      </c>
      <c r="L219" s="41">
        <f>=(2.04*D219+246.4)*(1.1*(G219+H219)+186)</f>
        <v>134468.6</v>
      </c>
      <c r="M219" s="76" t="s"/>
      <c r="N219" s="76" t="s">
        <v>61</v>
      </c>
      <c r="O219" s="38" t="s">
        <v>419</v>
      </c>
      <c r="P219" s="121" t="s"/>
      <c r="Q219" s="121" t="s"/>
      <c r="R219" s="121" t="s"/>
      <c r="S219" s="38" t="s">
        <v>908</v>
      </c>
    </row>
    <row r="220" spans="1:19" ht="13.55" hidden="1" customHeight="1">
      <c r="A220" s="38" t="s">
        <v>909</v>
      </c>
      <c r="B220" s="38" t="s">
        <v>910</v>
      </c>
      <c r="C220" s="38" t="s">
        <v>36</v>
      </c>
      <c r="D220" s="39">
        <v>68</v>
      </c>
      <c r="E220" s="39">
        <v>103</v>
      </c>
      <c r="F220" s="39">
        <v>37</v>
      </c>
      <c r="G220" s="39">
        <v>81</v>
      </c>
      <c r="H220" s="39">
        <v>66</v>
      </c>
      <c r="I220" s="39">
        <v>96</v>
      </c>
      <c r="J220" s="40">
        <f>=SUM(D220:I220)</f>
        <v>451</v>
      </c>
      <c r="K220" s="17">
        <f>=J220-MIN(E220,F220)</f>
        <v>414</v>
      </c>
      <c r="L220" s="41">
        <f>=(2.04*D220+246.4)*(1.1*(G220+H220)+186)</f>
        <v>133906.224</v>
      </c>
      <c r="M220" s="76" t="s"/>
      <c r="N220" s="76" t="s">
        <v>61</v>
      </c>
      <c r="O220" s="38" t="s">
        <v>423</v>
      </c>
      <c r="P220" s="121" t="s"/>
      <c r="Q220" s="121" t="s"/>
      <c r="R220" s="121" t="s"/>
      <c r="S220" s="38" t="s">
        <v>911</v>
      </c>
    </row>
    <row r="221" spans="1:19" ht="13.55" hidden="1" customHeight="1">
      <c r="A221" s="38" t="s">
        <v>912</v>
      </c>
      <c r="B221" s="38" t="s">
        <v>913</v>
      </c>
      <c r="C221" s="38" t="s">
        <v>427</v>
      </c>
      <c r="D221" s="39">
        <v>60</v>
      </c>
      <c r="E221" s="39">
        <v>81</v>
      </c>
      <c r="F221" s="39">
        <v>85</v>
      </c>
      <c r="G221" s="39">
        <v>72</v>
      </c>
      <c r="H221" s="39">
        <v>88</v>
      </c>
      <c r="I221" s="39">
        <v>108</v>
      </c>
      <c r="J221" s="40">
        <f>=SUM(D221:I221)</f>
        <v>494</v>
      </c>
      <c r="K221" s="17">
        <f>=J221-MIN(E221,F221)</f>
        <v>413</v>
      </c>
      <c r="L221" s="41">
        <f>=(2.04*D221+246.4)*(1.1*(G221+H221)+186)</f>
        <v>133505.6</v>
      </c>
      <c r="M221" s="76" t="s"/>
      <c r="N221" s="76" t="s">
        <v>61</v>
      </c>
      <c r="O221" s="38" t="s">
        <v>428</v>
      </c>
      <c r="P221" s="121" t="s"/>
      <c r="Q221" s="121" t="s"/>
      <c r="R221" s="121" t="s"/>
      <c r="S221" s="38" t="s">
        <v>914</v>
      </c>
    </row>
    <row r="222" spans="1:19" ht="13.55" hidden="1" customHeight="1">
      <c r="A222" s="38" t="s">
        <v>915</v>
      </c>
      <c r="B222" s="38" t="s">
        <v>916</v>
      </c>
      <c r="C222" s="38" t="s">
        <v>65</v>
      </c>
      <c r="D222" s="39">
        <v>72</v>
      </c>
      <c r="E222" s="39">
        <v>103</v>
      </c>
      <c r="F222" s="39">
        <v>44</v>
      </c>
      <c r="G222" s="39">
        <v>86</v>
      </c>
      <c r="H222" s="39">
        <v>59</v>
      </c>
      <c r="I222" s="39">
        <v>92</v>
      </c>
      <c r="J222" s="40">
        <f>=SUM(D222:I222)</f>
        <v>456</v>
      </c>
      <c r="K222" s="17">
        <f>=J222-MIN(E222,F222)</f>
        <v>412</v>
      </c>
      <c r="L222" s="41">
        <f>=(2.04*D222+246.4)*(1.1*(G222+H222)+186)</f>
        <v>135878.24</v>
      </c>
      <c r="M222" s="76" t="s"/>
      <c r="N222" s="76" t="s">
        <v>61</v>
      </c>
      <c r="O222" s="38" t="s">
        <v>435</v>
      </c>
      <c r="P222" s="121" t="s"/>
      <c r="Q222" s="121" t="s"/>
      <c r="R222" s="121" t="s"/>
      <c r="S222" s="38" t="s">
        <v>917</v>
      </c>
    </row>
    <row r="223" spans="1:19" ht="13.55" hidden="1" customHeight="1">
      <c r="A223" s="38" t="s">
        <v>918</v>
      </c>
      <c r="B223" s="38" t="s">
        <v>919</v>
      </c>
      <c r="C223" s="38" t="s">
        <v>125</v>
      </c>
      <c r="D223" s="39">
        <v>81</v>
      </c>
      <c r="E223" s="39">
        <v>26</v>
      </c>
      <c r="F223" s="39">
        <v>81</v>
      </c>
      <c r="G223" s="39">
        <v>75</v>
      </c>
      <c r="H223" s="39">
        <v>78</v>
      </c>
      <c r="I223" s="39">
        <v>96</v>
      </c>
      <c r="J223" s="40">
        <f>=SUM(D223:I223)</f>
        <v>437</v>
      </c>
      <c r="K223" s="17">
        <f>=J223-MIN(E223,F223)</f>
        <v>411</v>
      </c>
      <c r="L223" s="41">
        <f>=(2.04*D223+246.4)*(1.1*(G223+H223)+186)</f>
        <v>145844.052</v>
      </c>
      <c r="M223" s="42" t="s"/>
      <c r="N223" s="42" t="s">
        <v>61</v>
      </c>
      <c r="O223" s="38" t="s">
        <v>440</v>
      </c>
      <c r="P223" s="121" t="s"/>
      <c r="Q223" s="121" t="s"/>
      <c r="R223" s="121" t="s"/>
      <c r="S223" s="38" t="s">
        <v>920</v>
      </c>
    </row>
    <row r="224" spans="1:19" ht="13.55" hidden="1" customHeight="1">
      <c r="A224" s="38" t="s">
        <v>921</v>
      </c>
      <c r="B224" s="38" t="s">
        <v>922</v>
      </c>
      <c r="C224" s="38" t="s">
        <v>447</v>
      </c>
      <c r="D224" s="39">
        <v>100</v>
      </c>
      <c r="E224" s="39">
        <v>80</v>
      </c>
      <c r="F224" s="39">
        <v>78</v>
      </c>
      <c r="G224" s="39">
        <v>80</v>
      </c>
      <c r="H224" s="39">
        <v>65</v>
      </c>
      <c r="I224" s="39">
        <v>84</v>
      </c>
      <c r="J224" s="40">
        <f>=SUM(D224:I224)</f>
        <v>487</v>
      </c>
      <c r="K224" s="17">
        <f>=J224-MIN(E224,F224)</f>
        <v>409</v>
      </c>
      <c r="L224" s="41">
        <f>=(2.04*D224+246.4)*(1.1*(G224+H224)+186)</f>
        <v>155613.2</v>
      </c>
      <c r="M224" s="42" t="s"/>
      <c r="N224" s="42" t="s">
        <v>61</v>
      </c>
      <c r="O224" s="38" t="s">
        <v>448</v>
      </c>
      <c r="P224" s="121" t="s"/>
      <c r="Q224" s="121" t="s"/>
      <c r="R224" s="121" t="s"/>
      <c r="S224" s="38" t="s">
        <v>923</v>
      </c>
    </row>
    <row r="225" spans="1:19" ht="13.55" hidden="1" customHeight="1">
      <c r="A225" s="38" t="s">
        <v>924</v>
      </c>
      <c r="B225" s="38" t="s">
        <v>925</v>
      </c>
      <c r="C225" s="38" t="s">
        <v>46</v>
      </c>
      <c r="D225" s="39">
        <v>88</v>
      </c>
      <c r="E225" s="39">
        <v>95</v>
      </c>
      <c r="F225" s="39">
        <v>41</v>
      </c>
      <c r="G225" s="39">
        <v>82</v>
      </c>
      <c r="H225" s="39">
        <v>56</v>
      </c>
      <c r="I225" s="39">
        <v>88</v>
      </c>
      <c r="J225" s="40">
        <f>=SUM(D225:I225)</f>
        <v>450</v>
      </c>
      <c r="K225" s="17">
        <f>=J225-MIN(E225,F225)</f>
        <v>409</v>
      </c>
      <c r="L225" s="41">
        <f>=(2.04*D225+246.4)*(1.1*(G225+H225)+186)</f>
        <v>143875.776</v>
      </c>
      <c r="M225" s="76" t="s"/>
      <c r="N225" s="76" t="s">
        <v>61</v>
      </c>
      <c r="O225" s="38" t="s">
        <v>452</v>
      </c>
      <c r="P225" s="121" t="s"/>
      <c r="Q225" s="121" t="s"/>
      <c r="R225" s="121" t="s"/>
      <c r="S225" s="38" t="s">
        <v>926</v>
      </c>
    </row>
    <row r="226" spans="1:19" ht="13.55" hidden="1" customHeight="1">
      <c r="A226" s="38" t="s">
        <v>927</v>
      </c>
      <c r="B226" s="38" t="s">
        <v>928</v>
      </c>
      <c r="C226" s="38" t="s">
        <v>456</v>
      </c>
      <c r="D226" s="39">
        <v>78</v>
      </c>
      <c r="E226" s="39">
        <v>87</v>
      </c>
      <c r="F226" s="39">
        <v>84</v>
      </c>
      <c r="G226" s="39">
        <v>84</v>
      </c>
      <c r="H226" s="39">
        <v>56</v>
      </c>
      <c r="I226" s="39">
        <v>104</v>
      </c>
      <c r="J226" s="40">
        <f>=SUM(D226:I226)</f>
        <v>493</v>
      </c>
      <c r="K226" s="17">
        <f>=J226-MIN(E226,F226)</f>
        <v>409</v>
      </c>
      <c r="L226" s="41">
        <f>=(2.04*D226+246.4)*(1.1*(G226+H226)+186)</f>
        <v>137876.8</v>
      </c>
      <c r="M226" s="42" t="s"/>
      <c r="N226" s="42" t="s">
        <v>61</v>
      </c>
      <c r="O226" s="38" t="s">
        <v>457</v>
      </c>
      <c r="P226" s="121" t="s"/>
      <c r="Q226" s="121" t="s"/>
      <c r="R226" s="121" t="s"/>
      <c r="S226" s="38" t="s">
        <v>929</v>
      </c>
    </row>
    <row r="227" spans="1:19" ht="13.55" hidden="1" customHeight="1">
      <c r="A227" s="38" t="s">
        <v>930</v>
      </c>
      <c r="B227" s="38" t="s">
        <v>931</v>
      </c>
      <c r="C227" s="38" t="s">
        <v>130</v>
      </c>
      <c r="D227" s="39">
        <v>91</v>
      </c>
      <c r="E227" s="39">
        <v>84</v>
      </c>
      <c r="F227" s="39">
        <v>35</v>
      </c>
      <c r="G227" s="39">
        <v>81</v>
      </c>
      <c r="H227" s="39">
        <v>55</v>
      </c>
      <c r="I227" s="39">
        <v>96</v>
      </c>
      <c r="J227" s="40">
        <f>=SUM(D227:I227)</f>
        <v>442</v>
      </c>
      <c r="K227" s="17">
        <f>=J227-MIN(E227,F227)</f>
        <v>407</v>
      </c>
      <c r="L227" s="41">
        <f>=(2.04*D227+246.4)*(1.1*(G227+H227)+186)</f>
        <v>144992.624</v>
      </c>
      <c r="M227" s="76" t="s"/>
      <c r="N227" s="76" t="s">
        <v>61</v>
      </c>
      <c r="O227" s="38" t="s">
        <v>465</v>
      </c>
      <c r="P227" s="121" t="s"/>
      <c r="Q227" s="121" t="s"/>
      <c r="R227" s="121" t="s"/>
      <c r="S227" s="38" t="s">
        <v>932</v>
      </c>
    </row>
    <row r="228" spans="1:19" ht="13.55" hidden="1" customHeight="1">
      <c r="A228" s="38" t="s">
        <v>933</v>
      </c>
      <c r="B228" s="38" t="s">
        <v>934</v>
      </c>
      <c r="C228" s="38" t="s">
        <v>65</v>
      </c>
      <c r="D228" s="39">
        <v>71</v>
      </c>
      <c r="E228" s="39">
        <v>90</v>
      </c>
      <c r="F228" s="39">
        <v>90</v>
      </c>
      <c r="G228" s="39">
        <v>71</v>
      </c>
      <c r="H228" s="39">
        <v>80</v>
      </c>
      <c r="I228" s="39">
        <v>92</v>
      </c>
      <c r="J228" s="40">
        <f>=SUM(D228:I228)</f>
        <v>494</v>
      </c>
      <c r="K228" s="17">
        <f>=J228-MIN(E228,F228)</f>
        <v>404</v>
      </c>
      <c r="L228" s="41">
        <f>=(2.04*D228+246.4)*(1.1*(G228+H228)+186)</f>
        <v>137755.604</v>
      </c>
      <c r="M228" s="76" t="s"/>
      <c r="N228" s="76" t="s">
        <v>61</v>
      </c>
      <c r="O228" s="38" t="s">
        <v>481</v>
      </c>
      <c r="P228" s="121" t="s"/>
      <c r="Q228" s="121" t="s"/>
      <c r="R228" s="121" t="s"/>
      <c r="S228" s="38" t="s">
        <v>935</v>
      </c>
    </row>
    <row r="229" spans="1:19" ht="13.55" customHeight="1">
      <c r="A229" s="154" t="s">
        <v>768</v>
      </c>
      <c r="B229" s="154" t="s">
        <v>769</v>
      </c>
      <c r="C229" s="154" t="s">
        <v>85</v>
      </c>
      <c r="D229" s="155">
        <v>136</v>
      </c>
      <c r="E229" s="155">
        <v>95</v>
      </c>
      <c r="F229" s="155">
        <v>35</v>
      </c>
      <c r="G229" s="155">
        <v>55</v>
      </c>
      <c r="H229" s="155">
        <v>45</v>
      </c>
      <c r="I229" s="156">
        <v>105</v>
      </c>
      <c r="J229" s="157">
        <f>=SUM(D229:I229)</f>
        <v>471</v>
      </c>
      <c r="K229" s="158">
        <f>=J229-MIN(E229,F229)</f>
        <v>436</v>
      </c>
      <c r="L229" s="129">
        <f>=(2.04*D229+246.4)*(1.1*(G229+H229)+186)</f>
        <v>155056.64</v>
      </c>
      <c r="M229" s="220">
        <v>219</v>
      </c>
      <c r="N229" s="172" t="s">
        <v>56</v>
      </c>
      <c r="O229" s="154" t="s">
        <v>770</v>
      </c>
      <c r="P229" s="160" t="s"/>
      <c r="Q229" s="160" t="s"/>
      <c r="R229" s="160" t="s"/>
      <c r="S229" s="154" t="s">
        <v>771</v>
      </c>
    </row>
    <row r="230" spans="1:19" ht="13.55" hidden="1" customHeight="1">
      <c r="A230" s="38" t="s">
        <v>940</v>
      </c>
      <c r="B230" s="38" t="s">
        <v>941</v>
      </c>
      <c r="C230" s="38" t="s">
        <v>221</v>
      </c>
      <c r="D230" s="39">
        <v>94</v>
      </c>
      <c r="E230" s="39">
        <v>33</v>
      </c>
      <c r="F230" s="39">
        <v>79</v>
      </c>
      <c r="G230" s="39">
        <v>61</v>
      </c>
      <c r="H230" s="39">
        <v>88</v>
      </c>
      <c r="I230" s="39">
        <v>80</v>
      </c>
      <c r="J230" s="40">
        <f>=SUM(D230:I230)</f>
        <v>435</v>
      </c>
      <c r="K230" s="17">
        <f>=J230-MIN(E230,F230)</f>
        <v>402</v>
      </c>
      <c r="L230" s="41">
        <f>=(2.04*D230+246.4)*(1.1*(G230+H230)+186)</f>
        <v>153312.184</v>
      </c>
      <c r="M230" s="76" t="s"/>
      <c r="N230" s="76" t="s">
        <v>61</v>
      </c>
      <c r="O230" s="38" t="s">
        <v>485</v>
      </c>
      <c r="P230" s="121" t="s"/>
      <c r="Q230" s="121" t="s"/>
      <c r="R230" s="121" t="s"/>
      <c r="S230" s="38" t="s">
        <v>942</v>
      </c>
    </row>
    <row r="231" spans="1:19" ht="13.55" hidden="1" customHeight="1">
      <c r="A231" s="38" t="s">
        <v>943</v>
      </c>
      <c r="B231" s="38" t="s">
        <v>944</v>
      </c>
      <c r="C231" s="38" t="s">
        <v>489</v>
      </c>
      <c r="D231" s="39">
        <v>63</v>
      </c>
      <c r="E231" s="39">
        <v>70</v>
      </c>
      <c r="F231" s="39">
        <v>70</v>
      </c>
      <c r="G231" s="39">
        <v>109</v>
      </c>
      <c r="H231" s="39">
        <v>88</v>
      </c>
      <c r="I231" s="39">
        <v>72</v>
      </c>
      <c r="J231" s="40">
        <f>=SUM(D231:I231)</f>
        <v>472</v>
      </c>
      <c r="K231" s="17">
        <f>=J231-MIN(E231,F231)</f>
        <v>402</v>
      </c>
      <c r="L231" s="41">
        <f>=(2.04*D231+246.4)*(1.1*(G231+H231)+186)</f>
        <v>150980.284</v>
      </c>
      <c r="M231" s="76" t="s"/>
      <c r="N231" s="76" t="s">
        <v>61</v>
      </c>
      <c r="O231" s="38" t="s">
        <v>490</v>
      </c>
      <c r="P231" s="121" t="s"/>
      <c r="Q231" s="121" t="s"/>
      <c r="R231" s="121" t="s"/>
      <c r="S231" s="38" t="s">
        <v>945</v>
      </c>
    </row>
    <row r="232" spans="1:19" ht="13.55" hidden="1" customHeight="1">
      <c r="A232" s="38" t="s">
        <v>946</v>
      </c>
      <c r="B232" s="38" t="s">
        <v>947</v>
      </c>
      <c r="C232" s="38" t="s">
        <v>498</v>
      </c>
      <c r="D232" s="39">
        <v>72</v>
      </c>
      <c r="E232" s="39">
        <v>61</v>
      </c>
      <c r="F232" s="39">
        <v>61</v>
      </c>
      <c r="G232" s="39">
        <v>84</v>
      </c>
      <c r="H232" s="39">
        <v>84</v>
      </c>
      <c r="I232" s="39">
        <v>100</v>
      </c>
      <c r="J232" s="40">
        <f>=SUM(D232:I232)</f>
        <v>462</v>
      </c>
      <c r="K232" s="17">
        <f>=J232-MIN(E232,F232)</f>
        <v>401</v>
      </c>
      <c r="L232" s="41">
        <f>=(2.04*D232+246.4)*(1.1*(G232+H232)+186)</f>
        <v>145828.224</v>
      </c>
      <c r="M232" s="76" t="s"/>
      <c r="N232" s="76" t="s">
        <v>61</v>
      </c>
      <c r="O232" s="38" t="s">
        <v>499</v>
      </c>
      <c r="P232" s="121" t="s"/>
      <c r="Q232" s="121" t="s"/>
      <c r="R232" s="121" t="s"/>
      <c r="S232" s="38" t="s">
        <v>948</v>
      </c>
    </row>
    <row r="233" spans="1:19" ht="13.55" hidden="1" customHeight="1">
      <c r="A233" s="38" t="s">
        <v>949</v>
      </c>
      <c r="B233" s="38" t="s">
        <v>950</v>
      </c>
      <c r="C233" s="38" t="s">
        <v>41</v>
      </c>
      <c r="D233" s="39">
        <v>96</v>
      </c>
      <c r="E233" s="39">
        <v>90</v>
      </c>
      <c r="F233" s="39">
        <v>95</v>
      </c>
      <c r="G233" s="39">
        <v>56</v>
      </c>
      <c r="H233" s="39">
        <v>74</v>
      </c>
      <c r="I233" s="39">
        <v>80</v>
      </c>
      <c r="J233" s="40">
        <f>=SUM(D233:I233)</f>
        <v>491</v>
      </c>
      <c r="K233" s="17">
        <f>=J233-MIN(E233,F233)</f>
        <v>401</v>
      </c>
      <c r="L233" s="41">
        <f>=(2.04*D233+246.4)*(1.1*(G233+H233)+186)</f>
        <v>145496.96</v>
      </c>
      <c r="M233" s="42" t="s"/>
      <c r="N233" s="42" t="s">
        <v>61</v>
      </c>
      <c r="O233" s="38" t="s">
        <v>508</v>
      </c>
      <c r="P233" s="121" t="s"/>
      <c r="Q233" s="121" t="s"/>
      <c r="R233" s="121" t="s"/>
      <c r="S233" s="38" t="s">
        <v>951</v>
      </c>
    </row>
    <row r="234" spans="1:19" ht="13.55" hidden="1" customHeight="1">
      <c r="A234" s="38" t="s">
        <v>952</v>
      </c>
      <c r="B234" s="38" t="s">
        <v>953</v>
      </c>
      <c r="C234" s="38" t="s">
        <v>535</v>
      </c>
      <c r="D234" s="39">
        <v>65</v>
      </c>
      <c r="E234" s="39">
        <v>28</v>
      </c>
      <c r="F234" s="39">
        <v>84</v>
      </c>
      <c r="G234" s="39">
        <v>68</v>
      </c>
      <c r="H234" s="39">
        <v>84</v>
      </c>
      <c r="I234" s="39">
        <v>100</v>
      </c>
      <c r="J234" s="40">
        <f>=SUM(D234:I234)</f>
        <v>429</v>
      </c>
      <c r="K234" s="17">
        <f>=J234-MIN(E234,F234)</f>
        <v>401</v>
      </c>
      <c r="L234" s="41">
        <f>=(2.04*D234+246.4)*(1.1*(G234+H234)+186)</f>
        <v>133862.8</v>
      </c>
      <c r="M234" s="76" t="s"/>
      <c r="N234" s="76" t="s">
        <v>61</v>
      </c>
      <c r="O234" s="38" t="s">
        <v>536</v>
      </c>
      <c r="P234" s="121" t="s"/>
      <c r="Q234" s="121" t="s"/>
      <c r="R234" s="121" t="s"/>
      <c r="S234" s="38" t="s">
        <v>954</v>
      </c>
    </row>
    <row r="235" spans="1:40" s="254" customFormat="1" ht="13.55" hidden="1" customHeight="1">
      <c r="A235" s="38" t="s">
        <v>955</v>
      </c>
      <c r="B235" s="38" t="s">
        <v>956</v>
      </c>
      <c r="C235" s="38" t="s">
        <v>516</v>
      </c>
      <c r="D235" s="39">
        <v>97</v>
      </c>
      <c r="E235" s="39">
        <v>77</v>
      </c>
      <c r="F235" s="39">
        <v>77</v>
      </c>
      <c r="G235" s="39">
        <v>81</v>
      </c>
      <c r="H235" s="39">
        <v>81</v>
      </c>
      <c r="I235" s="39">
        <v>64</v>
      </c>
      <c r="J235" s="40">
        <f>=SUM(D235:I235)</f>
        <v>477</v>
      </c>
      <c r="K235" s="17">
        <f>=J235-MIN(E235,F235)</f>
        <v>400</v>
      </c>
      <c r="L235" s="41">
        <f>=(2.04*D235+246.4)*(1.1*(G235+H235)+186)</f>
        <v>161806.776</v>
      </c>
      <c r="M235" s="76" t="s"/>
      <c r="N235" s="76" t="s">
        <v>61</v>
      </c>
      <c r="O235" s="38" t="s">
        <v>517</v>
      </c>
      <c r="P235" s="121" t="s"/>
      <c r="Q235" s="121" t="s"/>
      <c r="R235" s="121" t="s"/>
      <c r="S235" s="38" t="s">
        <v>957</v>
      </c>
      <c r="T235" s="43" t="s"/>
      <c r="U235" s="43" t="s"/>
      <c r="V235" s="43" t="s"/>
      <c r="W235" s="43" t="s"/>
      <c r="AA235" s="44" t="s"/>
      <c r="AB235" s="44" t="s"/>
      <c r="AC235" s="44" t="s"/>
      <c r="AD235" s="44" t="s"/>
      <c r="AE235" s="44" t="s"/>
      <c r="AF235" s="44" t="s"/>
      <c r="AG235" s="44" t="s"/>
      <c r="AH235" s="44" t="s"/>
      <c r="AI235" s="44" t="s"/>
      <c r="AJ235" s="44" t="s"/>
      <c r="AK235" s="44" t="s"/>
      <c r="AL235" s="44" t="s"/>
      <c r="AM235" s="44" t="s"/>
      <c r="AN235" s="44" t="s"/>
    </row>
    <row r="236" spans="1:19" ht="13.55" hidden="1" customHeight="1">
      <c r="A236" s="38" t="s">
        <v>958</v>
      </c>
      <c r="B236" s="38" t="s">
        <v>959</v>
      </c>
      <c r="C236" s="38" t="s">
        <v>65</v>
      </c>
      <c r="D236" s="39">
        <v>82</v>
      </c>
      <c r="E236" s="39">
        <v>92</v>
      </c>
      <c r="F236" s="39">
        <v>51</v>
      </c>
      <c r="G236" s="39">
        <v>86</v>
      </c>
      <c r="H236" s="39">
        <v>44</v>
      </c>
      <c r="I236" s="39">
        <v>96</v>
      </c>
      <c r="J236" s="40">
        <f>=SUM(D236:I236)</f>
        <v>451</v>
      </c>
      <c r="K236" s="17">
        <f>=J236-MIN(E236,F236)</f>
        <v>400</v>
      </c>
      <c r="L236" s="41">
        <f>=(2.04*D236+246.4)*(1.1*(G236+H236)+186)</f>
        <v>136100.72</v>
      </c>
      <c r="M236" s="42" t="s"/>
      <c r="N236" s="42" t="s">
        <v>61</v>
      </c>
      <c r="O236" s="38" t="s">
        <v>512</v>
      </c>
      <c r="P236" s="121" t="s"/>
      <c r="Q236" s="121" t="s"/>
      <c r="R236" s="121" t="s"/>
      <c r="S236" s="38" t="s">
        <v>960</v>
      </c>
    </row>
    <row r="237" spans="1:19" ht="13.55" hidden="1" customHeight="1">
      <c r="A237" s="38" t="s">
        <v>961</v>
      </c>
      <c r="B237" s="38" t="s">
        <v>962</v>
      </c>
      <c r="C237" s="38" t="s">
        <v>521</v>
      </c>
      <c r="D237" s="39">
        <v>77</v>
      </c>
      <c r="E237" s="39">
        <v>56</v>
      </c>
      <c r="F237" s="39">
        <v>58</v>
      </c>
      <c r="G237" s="39">
        <v>65</v>
      </c>
      <c r="H237" s="39">
        <v>106</v>
      </c>
      <c r="I237" s="39">
        <v>92</v>
      </c>
      <c r="J237" s="40">
        <f>=SUM(D237:I237)</f>
        <v>454</v>
      </c>
      <c r="K237" s="17">
        <f>=J237-MIN(E237,F237)</f>
        <v>398</v>
      </c>
      <c r="L237" s="41">
        <f>=(2.04*D237+246.4)*(1.1*(G237+H237)+186)</f>
        <v>150941.868</v>
      </c>
      <c r="M237" s="76" t="s"/>
      <c r="N237" s="76" t="s">
        <v>61</v>
      </c>
      <c r="O237" s="38" t="s">
        <v>522</v>
      </c>
      <c r="P237" s="121" t="s"/>
      <c r="Q237" s="121" t="s"/>
      <c r="R237" s="121" t="s"/>
      <c r="S237" s="38" t="s">
        <v>963</v>
      </c>
    </row>
    <row r="238" spans="1:19" ht="13.55" hidden="1" customHeight="1">
      <c r="A238" s="38" t="s">
        <v>964</v>
      </c>
      <c r="B238" s="38" t="s">
        <v>965</v>
      </c>
      <c r="C238" s="38" t="s">
        <v>530</v>
      </c>
      <c r="D238" s="39">
        <v>72</v>
      </c>
      <c r="E238" s="39">
        <v>100</v>
      </c>
      <c r="F238" s="39">
        <v>36</v>
      </c>
      <c r="G238" s="39">
        <v>70</v>
      </c>
      <c r="H238" s="39">
        <v>56</v>
      </c>
      <c r="I238" s="39">
        <v>100</v>
      </c>
      <c r="J238" s="40">
        <f>=SUM(D238:I238)</f>
        <v>434</v>
      </c>
      <c r="K238" s="17">
        <f>=J238-MIN(E238,F238)</f>
        <v>398</v>
      </c>
      <c r="L238" s="41">
        <f>=(2.04*D238+246.4)*(1.1*(G238+H238)+186)</f>
        <v>127658.688</v>
      </c>
      <c r="M238" s="76" t="s"/>
      <c r="N238" s="76" t="s">
        <v>61</v>
      </c>
      <c r="O238" s="38" t="s">
        <v>531</v>
      </c>
      <c r="P238" s="121" t="s"/>
      <c r="Q238" s="121" t="s"/>
      <c r="R238" s="121" t="s"/>
      <c r="S238" s="38" t="s">
        <v>966</v>
      </c>
    </row>
    <row r="239" spans="1:19" ht="13.55" hidden="1" customHeight="1">
      <c r="A239" s="38" t="s">
        <v>967</v>
      </c>
      <c r="B239" s="38" t="s">
        <v>968</v>
      </c>
      <c r="C239" s="38" t="s">
        <v>427</v>
      </c>
      <c r="D239" s="39">
        <v>73</v>
      </c>
      <c r="E239" s="39">
        <v>79</v>
      </c>
      <c r="F239" s="39">
        <v>27</v>
      </c>
      <c r="G239" s="39">
        <v>86</v>
      </c>
      <c r="H239" s="39">
        <v>63</v>
      </c>
      <c r="I239" s="39">
        <v>96</v>
      </c>
      <c r="J239" s="40">
        <f>=SUM(D239:I239)</f>
        <v>424</v>
      </c>
      <c r="K239" s="17">
        <f>=J239-MIN(E239,F239)</f>
        <v>397</v>
      </c>
      <c r="L239" s="41">
        <f>=(2.04*D239+246.4)*(1.1*(G239+H239)+186)</f>
        <v>138322.468</v>
      </c>
      <c r="M239" s="42" t="s"/>
      <c r="N239" s="42" t="s">
        <v>61</v>
      </c>
      <c r="O239" s="38" t="s">
        <v>526</v>
      </c>
      <c r="P239" s="121" t="s"/>
      <c r="Q239" s="121" t="s"/>
      <c r="R239" s="121" t="s"/>
      <c r="S239" s="38" t="s">
        <v>969</v>
      </c>
    </row>
    <row r="240" spans="1:19" ht="13.55" hidden="1" customHeight="1">
      <c r="A240" s="38" t="s">
        <v>970</v>
      </c>
      <c r="B240" s="38" t="s">
        <v>971</v>
      </c>
      <c r="C240" s="38" t="s">
        <v>543</v>
      </c>
      <c r="D240" s="39">
        <v>92</v>
      </c>
      <c r="E240" s="39">
        <v>70</v>
      </c>
      <c r="F240" s="39">
        <v>70</v>
      </c>
      <c r="G240" s="39">
        <v>67</v>
      </c>
      <c r="H240" s="39">
        <v>86</v>
      </c>
      <c r="I240" s="39">
        <v>80</v>
      </c>
      <c r="J240" s="40">
        <f>=SUM(D240:I240)</f>
        <v>465</v>
      </c>
      <c r="K240" s="17">
        <f>=J240-MIN(E240,F240)</f>
        <v>395</v>
      </c>
      <c r="L240" s="41">
        <f>=(2.04*D240+246.4)*(1.1*(G240+H240)+186)</f>
        <v>153794.544</v>
      </c>
      <c r="M240" s="76" t="s"/>
      <c r="N240" s="76" t="s">
        <v>61</v>
      </c>
      <c r="O240" s="38" t="s">
        <v>544</v>
      </c>
      <c r="P240" s="121" t="s"/>
      <c r="Q240" s="121" t="s"/>
      <c r="R240" s="121" t="s"/>
      <c r="S240" s="38" t="s">
        <v>972</v>
      </c>
    </row>
    <row r="241" spans="1:19" ht="13.55" hidden="1" customHeight="1">
      <c r="A241" s="38" t="s">
        <v>973</v>
      </c>
      <c r="B241" s="38" t="s">
        <v>974</v>
      </c>
      <c r="C241" s="38" t="s">
        <v>548</v>
      </c>
      <c r="D241" s="39">
        <v>72</v>
      </c>
      <c r="E241" s="39">
        <v>91</v>
      </c>
      <c r="F241" s="39">
        <v>87</v>
      </c>
      <c r="G241" s="39">
        <v>89</v>
      </c>
      <c r="H241" s="39">
        <v>62</v>
      </c>
      <c r="I241" s="39">
        <v>80</v>
      </c>
      <c r="J241" s="40">
        <f>=SUM(D241:I241)</f>
        <v>481</v>
      </c>
      <c r="K241" s="17">
        <f>=J241-MIN(E241,F241)</f>
        <v>394</v>
      </c>
      <c r="L241" s="41">
        <f>=(2.04*D241+246.4)*(1.1*(G241+H241)+186)</f>
        <v>138473.888</v>
      </c>
      <c r="M241" s="42" t="s"/>
      <c r="N241" s="42" t="s">
        <v>61</v>
      </c>
      <c r="O241" s="38" t="s">
        <v>549</v>
      </c>
      <c r="P241" s="121" t="s"/>
      <c r="Q241" s="121" t="s"/>
      <c r="R241" s="121" t="s"/>
      <c r="S241" s="38" t="s">
        <v>975</v>
      </c>
    </row>
    <row r="242" spans="1:19" ht="13.55" hidden="1" customHeight="1">
      <c r="A242" s="38" t="s">
        <v>976</v>
      </c>
      <c r="B242" s="38" t="s">
        <v>977</v>
      </c>
      <c r="C242" s="38" t="s">
        <v>553</v>
      </c>
      <c r="D242" s="39">
        <v>75</v>
      </c>
      <c r="E242" s="39">
        <v>83</v>
      </c>
      <c r="F242" s="39">
        <v>83</v>
      </c>
      <c r="G242" s="39">
        <v>50</v>
      </c>
      <c r="H242" s="39">
        <v>90</v>
      </c>
      <c r="I242" s="39">
        <v>92</v>
      </c>
      <c r="J242" s="40">
        <f>=SUM(D242:I242)</f>
        <v>473</v>
      </c>
      <c r="K242" s="17">
        <f>=J242-MIN(E242,F242)</f>
        <v>390</v>
      </c>
      <c r="L242" s="41">
        <f>=(2.04*D242+246.4)*(1.1*(G242+H242)+186)</f>
        <v>135796</v>
      </c>
      <c r="M242" s="42" t="s"/>
      <c r="N242" s="42" t="s">
        <v>61</v>
      </c>
      <c r="O242" s="38" t="s">
        <v>554</v>
      </c>
      <c r="P242" s="121" t="s"/>
      <c r="Q242" s="121" t="s"/>
      <c r="R242" s="121" t="s"/>
      <c r="S242" s="38" t="s">
        <v>978</v>
      </c>
    </row>
    <row r="243" spans="1:19" ht="13.55" hidden="1" customHeight="1">
      <c r="A243" s="38" t="s">
        <v>979</v>
      </c>
      <c r="B243" s="38" t="s">
        <v>980</v>
      </c>
      <c r="C243" s="38" t="s">
        <v>558</v>
      </c>
      <c r="D243" s="39">
        <v>79</v>
      </c>
      <c r="E243" s="39">
        <v>77</v>
      </c>
      <c r="F243" s="39">
        <v>81</v>
      </c>
      <c r="G243" s="39">
        <v>102</v>
      </c>
      <c r="H243" s="39">
        <v>75</v>
      </c>
      <c r="I243" s="39">
        <v>52</v>
      </c>
      <c r="J243" s="40">
        <f>=SUM(D243:I243)</f>
        <v>466</v>
      </c>
      <c r="K243" s="17">
        <f>=J243-MIN(E243,F243)</f>
        <v>389</v>
      </c>
      <c r="L243" s="41">
        <f>=(2.04*D243+246.4)*(1.1*(G243+H243)+186)</f>
        <v>155158.092</v>
      </c>
      <c r="M243" s="76" t="s"/>
      <c r="N243" s="76" t="s">
        <v>61</v>
      </c>
      <c r="O243" s="38" t="s">
        <v>559</v>
      </c>
      <c r="P243" s="121" t="s"/>
      <c r="Q243" s="121" t="s"/>
      <c r="R243" s="121" t="s"/>
      <c r="S243" s="38" t="s">
        <v>981</v>
      </c>
    </row>
    <row r="244" spans="1:40" s="254" customFormat="1" ht="13.55" hidden="1" customHeight="1">
      <c r="A244" s="38" t="s">
        <v>982</v>
      </c>
      <c r="B244" s="38" t="s">
        <v>983</v>
      </c>
      <c r="C244" s="38" t="s">
        <v>46</v>
      </c>
      <c r="D244" s="39">
        <v>76</v>
      </c>
      <c r="E244" s="39">
        <v>79</v>
      </c>
      <c r="F244" s="39">
        <v>79</v>
      </c>
      <c r="G244" s="39">
        <v>101</v>
      </c>
      <c r="H244" s="39">
        <v>56</v>
      </c>
      <c r="I244" s="39">
        <v>76</v>
      </c>
      <c r="J244" s="40">
        <f>=SUM(D244:I244)</f>
        <v>467</v>
      </c>
      <c r="K244" s="17">
        <f>=J244-MIN(E244,F244)</f>
        <v>388</v>
      </c>
      <c r="L244" s="41">
        <f>=(2.04*D244+246.4)*(1.1*(G244+H244)+186)</f>
        <v>143996.528</v>
      </c>
      <c r="M244" s="42" t="s"/>
      <c r="N244" s="42" t="s">
        <v>61</v>
      </c>
      <c r="O244" s="38" t="s">
        <v>564</v>
      </c>
      <c r="P244" s="121" t="s"/>
      <c r="Q244" s="121" t="s"/>
      <c r="R244" s="121" t="s"/>
      <c r="S244" s="38" t="s">
        <v>984</v>
      </c>
      <c r="T244" s="43" t="s"/>
      <c r="U244" s="43" t="s"/>
      <c r="V244" s="43" t="s"/>
      <c r="W244" s="43" t="s"/>
      <c r="AA244" s="44" t="s"/>
      <c r="AB244" s="44" t="s"/>
      <c r="AC244" s="44" t="s"/>
      <c r="AD244" s="44" t="s"/>
      <c r="AE244" s="44" t="s"/>
      <c r="AF244" s="44" t="s"/>
      <c r="AG244" s="44" t="s"/>
      <c r="AH244" s="44" t="s"/>
      <c r="AI244" s="44" t="s"/>
      <c r="AJ244" s="44" t="s"/>
      <c r="AK244" s="44" t="s"/>
      <c r="AL244" s="44" t="s"/>
      <c r="AM244" s="44" t="s"/>
      <c r="AN244" s="44" t="s"/>
    </row>
    <row r="245" spans="1:19" ht="13.55" hidden="1" customHeight="1">
      <c r="A245" s="38" t="s">
        <v>985</v>
      </c>
      <c r="B245" s="38" t="s">
        <v>986</v>
      </c>
      <c r="C245" s="38" t="s">
        <v>572</v>
      </c>
      <c r="D245" s="39">
        <v>98</v>
      </c>
      <c r="E245" s="39">
        <v>71</v>
      </c>
      <c r="F245" s="39">
        <v>31</v>
      </c>
      <c r="G245" s="39">
        <v>97</v>
      </c>
      <c r="H245" s="39">
        <v>61</v>
      </c>
      <c r="I245" s="39">
        <v>60</v>
      </c>
      <c r="J245" s="40">
        <f>=SUM(D245:I245)</f>
        <v>418</v>
      </c>
      <c r="K245" s="17">
        <f>=J245-MIN(E245,F245)</f>
        <v>387</v>
      </c>
      <c r="L245" s="41">
        <f>=(2.04*D245+246.4)*(1.1*(G245+H245)+186)</f>
        <v>160585.936</v>
      </c>
      <c r="M245" s="76" t="s"/>
      <c r="N245" s="76" t="s">
        <v>61</v>
      </c>
      <c r="O245" s="38" t="s">
        <v>573</v>
      </c>
      <c r="P245" s="121" t="s"/>
      <c r="Q245" s="121" t="s"/>
      <c r="R245" s="121" t="s"/>
      <c r="S245" s="38" t="s">
        <v>987</v>
      </c>
    </row>
    <row r="246" spans="1:19" ht="13.55" hidden="1" customHeight="1">
      <c r="A246" s="38" t="s">
        <v>988</v>
      </c>
      <c r="B246" s="38" t="s">
        <v>989</v>
      </c>
      <c r="C246" s="38" t="s">
        <v>46</v>
      </c>
      <c r="D246" s="39">
        <v>92</v>
      </c>
      <c r="E246" s="39">
        <v>72</v>
      </c>
      <c r="F246" s="39">
        <v>71</v>
      </c>
      <c r="G246" s="39">
        <v>87</v>
      </c>
      <c r="H246" s="39">
        <v>60</v>
      </c>
      <c r="I246" s="39">
        <v>76</v>
      </c>
      <c r="J246" s="40">
        <f>=SUM(D246:I246)</f>
        <v>458</v>
      </c>
      <c r="K246" s="17">
        <f>=J246-MIN(E246,F246)</f>
        <v>387</v>
      </c>
      <c r="L246" s="41">
        <f>=(2.04*D246+246.4)*(1.1*(G246+H246)+186)</f>
        <v>150929.616</v>
      </c>
      <c r="M246" s="76" t="s"/>
      <c r="N246" s="76" t="s">
        <v>61</v>
      </c>
      <c r="O246" s="38" t="s">
        <v>577</v>
      </c>
      <c r="P246" s="121" t="s"/>
      <c r="Q246" s="121" t="s"/>
      <c r="R246" s="121" t="s"/>
      <c r="S246" s="38" t="s">
        <v>990</v>
      </c>
    </row>
    <row r="247" spans="1:19" ht="13.55" hidden="1" customHeight="1">
      <c r="A247" s="38" t="s">
        <v>991</v>
      </c>
      <c r="B247" s="38" t="s">
        <v>992</v>
      </c>
      <c r="C247" s="38" t="s">
        <v>360</v>
      </c>
      <c r="D247" s="39">
        <v>86</v>
      </c>
      <c r="E247" s="39">
        <v>42</v>
      </c>
      <c r="F247" s="39">
        <v>99</v>
      </c>
      <c r="G247" s="39">
        <v>64</v>
      </c>
      <c r="H247" s="39">
        <v>90</v>
      </c>
      <c r="I247" s="39">
        <v>48</v>
      </c>
      <c r="J247" s="40">
        <f>=SUM(D247:I247)</f>
        <v>429</v>
      </c>
      <c r="K247" s="17">
        <f>=J247-MIN(E247,F247)</f>
        <v>387</v>
      </c>
      <c r="L247" s="41">
        <f>=(2.04*D247+246.4)*(1.1*(G247+H247)+186)</f>
        <v>149921.936</v>
      </c>
      <c r="M247" s="76" t="s"/>
      <c r="N247" s="76" t="s">
        <v>61</v>
      </c>
      <c r="O247" s="38" t="s">
        <v>568</v>
      </c>
      <c r="P247" s="121" t="s"/>
      <c r="Q247" s="121" t="s"/>
      <c r="R247" s="121" t="s"/>
      <c r="S247" s="38" t="s">
        <v>993</v>
      </c>
    </row>
    <row r="248" spans="1:19" ht="13.55" hidden="1" customHeight="1">
      <c r="A248" s="38" t="s">
        <v>994</v>
      </c>
      <c r="B248" s="38" t="s">
        <v>995</v>
      </c>
      <c r="C248" s="38" t="s">
        <v>360</v>
      </c>
      <c r="D248" s="39">
        <v>63</v>
      </c>
      <c r="E248" s="39">
        <v>68</v>
      </c>
      <c r="F248" s="39">
        <v>76</v>
      </c>
      <c r="G248" s="39">
        <v>87</v>
      </c>
      <c r="H248" s="39">
        <v>77</v>
      </c>
      <c r="I248" s="39">
        <v>84</v>
      </c>
      <c r="J248" s="40">
        <f>=SUM(D248:I248)</f>
        <v>455</v>
      </c>
      <c r="K248" s="17">
        <f>=J248-MIN(E248,F248)</f>
        <v>387</v>
      </c>
      <c r="L248" s="41">
        <f>=(2.04*D248+246.4)*(1.1*(G248+H248)+186)</f>
        <v>137370.688</v>
      </c>
      <c r="M248" s="42" t="s"/>
      <c r="N248" s="42" t="s">
        <v>61</v>
      </c>
      <c r="O248" s="38" t="s">
        <v>643</v>
      </c>
      <c r="P248" s="121" t="s"/>
      <c r="Q248" s="121" t="s"/>
      <c r="R248" s="121" t="s"/>
      <c r="S248" s="38" t="s">
        <v>996</v>
      </c>
    </row>
    <row r="249" spans="1:19" ht="13.55" hidden="1" customHeight="1">
      <c r="A249" s="38" t="s">
        <v>997</v>
      </c>
      <c r="B249" s="38" t="s">
        <v>998</v>
      </c>
      <c r="C249" s="38" t="s">
        <v>427</v>
      </c>
      <c r="D249" s="39">
        <v>67</v>
      </c>
      <c r="E249" s="39">
        <v>80</v>
      </c>
      <c r="F249" s="39">
        <v>80</v>
      </c>
      <c r="G249" s="39">
        <v>62</v>
      </c>
      <c r="H249" s="39">
        <v>78</v>
      </c>
      <c r="I249" s="39">
        <v>100</v>
      </c>
      <c r="J249" s="40">
        <f>=SUM(D249:I249)</f>
        <v>467</v>
      </c>
      <c r="K249" s="17">
        <f>=J249-MIN(E249,F249)</f>
        <v>387</v>
      </c>
      <c r="L249" s="41">
        <f>=(2.04*D249+246.4)*(1.1*(G249+H249)+186)</f>
        <v>130247.2</v>
      </c>
      <c r="M249" s="76" t="s"/>
      <c r="N249" s="76" t="s">
        <v>61</v>
      </c>
      <c r="O249" s="38" t="s">
        <v>581</v>
      </c>
      <c r="P249" s="121" t="s"/>
      <c r="Q249" s="121" t="s"/>
      <c r="R249" s="121" t="s"/>
      <c r="S249" s="38" t="s">
        <v>999</v>
      </c>
    </row>
    <row r="250" spans="1:19" ht="13.55" hidden="1" customHeight="1">
      <c r="A250" s="38" t="s">
        <v>1000</v>
      </c>
      <c r="B250" s="38" t="s">
        <v>1001</v>
      </c>
      <c r="C250" s="38" t="s">
        <v>36</v>
      </c>
      <c r="D250" s="39">
        <v>100</v>
      </c>
      <c r="E250" s="39">
        <v>97</v>
      </c>
      <c r="F250" s="39">
        <v>43</v>
      </c>
      <c r="G250" s="39">
        <v>86</v>
      </c>
      <c r="H250" s="39">
        <v>67</v>
      </c>
      <c r="I250" s="39">
        <v>36</v>
      </c>
      <c r="J250" s="40">
        <f>=SUM(D250:I250)</f>
        <v>429</v>
      </c>
      <c r="K250" s="17">
        <f>=J250-MIN(E250,F250)</f>
        <v>386</v>
      </c>
      <c r="L250" s="41">
        <f>=(2.04*D250+246.4)*(1.1*(G250+H250)+186)</f>
        <v>159576.72</v>
      </c>
      <c r="M250" s="76" t="s"/>
      <c r="N250" s="76" t="s">
        <v>61</v>
      </c>
      <c r="O250" s="38" t="s">
        <v>37</v>
      </c>
      <c r="P250" s="121" t="s"/>
      <c r="Q250" s="121" t="s"/>
      <c r="R250" s="121" t="s"/>
      <c r="S250" s="38" t="s">
        <v>1002</v>
      </c>
    </row>
    <row r="251" spans="1:19" ht="13.55" hidden="1" customHeight="1">
      <c r="A251" s="38" t="s">
        <v>1003</v>
      </c>
      <c r="B251" s="38" t="s">
        <v>1004</v>
      </c>
      <c r="C251" s="38" t="s">
        <v>585</v>
      </c>
      <c r="D251" s="39">
        <v>66</v>
      </c>
      <c r="E251" s="39">
        <v>91</v>
      </c>
      <c r="F251" s="39">
        <v>24</v>
      </c>
      <c r="G251" s="39">
        <v>73</v>
      </c>
      <c r="H251" s="39">
        <v>63</v>
      </c>
      <c r="I251" s="39">
        <v>92</v>
      </c>
      <c r="J251" s="40">
        <f>=SUM(D251:I251)</f>
        <v>409</v>
      </c>
      <c r="K251" s="17">
        <f>=J251-MIN(E251,F251)</f>
        <v>385</v>
      </c>
      <c r="L251" s="41">
        <f>=(2.04*D251+246.4)*(1.1*(G251+H251)+186)</f>
        <v>127877.024</v>
      </c>
      <c r="M251" s="42" t="s"/>
      <c r="N251" s="42" t="s">
        <v>61</v>
      </c>
      <c r="O251" s="38" t="s">
        <v>586</v>
      </c>
      <c r="P251" s="121" t="s"/>
      <c r="Q251" s="121" t="s"/>
      <c r="R251" s="121" t="s"/>
      <c r="S251" s="38" t="s">
        <v>1005</v>
      </c>
    </row>
    <row r="252" spans="1:19" ht="13.55" hidden="1" customHeight="1">
      <c r="A252" s="38" t="s">
        <v>1006</v>
      </c>
      <c r="B252" s="38" t="s">
        <v>1007</v>
      </c>
      <c r="C252" s="38" t="s">
        <v>599</v>
      </c>
      <c r="D252" s="39">
        <v>85</v>
      </c>
      <c r="E252" s="39">
        <v>63</v>
      </c>
      <c r="F252" s="39">
        <v>63</v>
      </c>
      <c r="G252" s="39">
        <v>64</v>
      </c>
      <c r="H252" s="39">
        <v>91</v>
      </c>
      <c r="I252" s="39">
        <v>80</v>
      </c>
      <c r="J252" s="40">
        <f>=SUM(D252:I252)</f>
        <v>446</v>
      </c>
      <c r="K252" s="17">
        <f>=J252-MIN(E252,F252)</f>
        <v>383</v>
      </c>
      <c r="L252" s="41">
        <f>=(2.04*D252+246.4)*(1.1*(G252+H252)+186)</f>
        <v>149658.7</v>
      </c>
      <c r="M252" s="76" t="s"/>
      <c r="N252" s="76" t="s">
        <v>61</v>
      </c>
      <c r="O252" s="38" t="s">
        <v>600</v>
      </c>
      <c r="P252" s="121" t="s"/>
      <c r="Q252" s="121" t="s"/>
      <c r="R252" s="121" t="s"/>
      <c r="S252" s="38" t="s">
        <v>1008</v>
      </c>
    </row>
    <row r="253" spans="1:19" ht="13.55" hidden="1" customHeight="1">
      <c r="A253" s="38" t="s">
        <v>1009</v>
      </c>
      <c r="B253" s="38" t="s">
        <v>1010</v>
      </c>
      <c r="C253" s="38" t="s">
        <v>590</v>
      </c>
      <c r="D253" s="39">
        <v>86</v>
      </c>
      <c r="E253" s="39">
        <v>112</v>
      </c>
      <c r="F253" s="39">
        <v>44</v>
      </c>
      <c r="G253" s="39">
        <v>58</v>
      </c>
      <c r="H253" s="39">
        <v>43</v>
      </c>
      <c r="I253" s="39">
        <v>84</v>
      </c>
      <c r="J253" s="40">
        <f>=SUM(D253:I253)</f>
        <v>427</v>
      </c>
      <c r="K253" s="17">
        <f>=J253-MIN(E253,F253)</f>
        <v>383</v>
      </c>
      <c r="L253" s="41">
        <f>=(2.04*D253+246.4)*(1.1*(G253+H253)+186)</f>
        <v>125328.664</v>
      </c>
      <c r="M253" s="76" t="s"/>
      <c r="N253" s="76" t="s">
        <v>61</v>
      </c>
      <c r="O253" s="38" t="s">
        <v>591</v>
      </c>
      <c r="P253" s="121" t="s"/>
      <c r="Q253" s="121" t="s"/>
      <c r="R253" s="121" t="s"/>
      <c r="S253" s="38" t="s">
        <v>1011</v>
      </c>
    </row>
    <row r="254" spans="1:19" ht="13.55" hidden="1" customHeight="1">
      <c r="A254" s="38" t="s">
        <v>1012</v>
      </c>
      <c r="B254" s="38" t="s">
        <v>1013</v>
      </c>
      <c r="C254" s="38" t="s">
        <v>36</v>
      </c>
      <c r="D254" s="39">
        <v>90</v>
      </c>
      <c r="E254" s="39">
        <v>72</v>
      </c>
      <c r="F254" s="39">
        <v>20</v>
      </c>
      <c r="G254" s="39">
        <v>94</v>
      </c>
      <c r="H254" s="39">
        <v>74</v>
      </c>
      <c r="I254" s="39">
        <v>52</v>
      </c>
      <c r="J254" s="40">
        <f>=SUM(D254:I254)</f>
        <v>402</v>
      </c>
      <c r="K254" s="17">
        <f>=J254-MIN(E254,F254)</f>
        <v>382</v>
      </c>
      <c r="L254" s="41">
        <f>=(2.04*D254+246.4)*(1.1*(G254+H254)+186)</f>
        <v>159444</v>
      </c>
      <c r="M254" s="42" t="s"/>
      <c r="N254" s="42" t="s">
        <v>61</v>
      </c>
      <c r="O254" s="38" t="s">
        <v>595</v>
      </c>
      <c r="P254" s="121" t="s"/>
      <c r="Q254" s="121" t="s"/>
      <c r="R254" s="121" t="s"/>
      <c r="S254" s="38" t="s">
        <v>1014</v>
      </c>
    </row>
    <row r="255" spans="1:19" ht="13.55" hidden="1" customHeight="1">
      <c r="A255" s="38" t="s">
        <v>1015</v>
      </c>
      <c r="B255" s="38" t="s">
        <v>1016</v>
      </c>
      <c r="C255" s="38" t="s">
        <v>85</v>
      </c>
      <c r="D255" s="39">
        <v>92</v>
      </c>
      <c r="E255" s="39">
        <v>67</v>
      </c>
      <c r="F255" s="39">
        <v>63</v>
      </c>
      <c r="G255" s="39">
        <v>89</v>
      </c>
      <c r="H255" s="39">
        <v>70</v>
      </c>
      <c r="I255" s="39">
        <v>64</v>
      </c>
      <c r="J255" s="40">
        <f>=SUM(D255:I255)</f>
        <v>445</v>
      </c>
      <c r="K255" s="17">
        <f>=J255-MIN(E255,F255)</f>
        <v>382</v>
      </c>
      <c r="L255" s="41">
        <f>=(2.04*D255+246.4)*(1.1*(G255+H255)+186)</f>
        <v>156659.472</v>
      </c>
      <c r="M255" s="76" t="s"/>
      <c r="N255" s="76" t="s">
        <v>61</v>
      </c>
      <c r="O255" s="38" t="s">
        <v>608</v>
      </c>
      <c r="P255" s="121" t="s"/>
      <c r="Q255" s="121" t="s"/>
      <c r="R255" s="121" t="s"/>
      <c r="S255" s="38" t="s">
        <v>1017</v>
      </c>
    </row>
    <row r="256" spans="1:19" ht="13.55" hidden="1" customHeight="1">
      <c r="A256" s="38" t="s">
        <v>1018</v>
      </c>
      <c r="B256" s="38" t="s">
        <v>1019</v>
      </c>
      <c r="C256" s="38" t="s">
        <v>41</v>
      </c>
      <c r="D256" s="39">
        <v>97</v>
      </c>
      <c r="E256" s="39">
        <v>104</v>
      </c>
      <c r="F256" s="39">
        <v>47</v>
      </c>
      <c r="G256" s="39">
        <v>83</v>
      </c>
      <c r="H256" s="39">
        <v>62</v>
      </c>
      <c r="I256" s="39">
        <v>36</v>
      </c>
      <c r="J256" s="40">
        <f>=SUM(D256:I256)</f>
        <v>429</v>
      </c>
      <c r="K256" s="17">
        <f>=J256-MIN(E256,F256)</f>
        <v>382</v>
      </c>
      <c r="L256" s="41">
        <f>=(2.04*D256+246.4)*(1.1*(G256+H256)+186)</f>
        <v>153498.74</v>
      </c>
      <c r="M256" s="76" t="s"/>
      <c r="N256" s="76" t="s">
        <v>61</v>
      </c>
      <c r="O256" s="38" t="s">
        <v>42</v>
      </c>
      <c r="P256" s="121" t="s"/>
      <c r="Q256" s="121" t="s"/>
      <c r="R256" s="121" t="s"/>
      <c r="S256" s="38" t="s">
        <v>1020</v>
      </c>
    </row>
    <row r="257" spans="1:19" ht="13.55" hidden="1" customHeight="1">
      <c r="A257" s="38" t="s">
        <v>1021</v>
      </c>
      <c r="B257" s="38" t="s">
        <v>1022</v>
      </c>
      <c r="C257" s="38" t="s">
        <v>360</v>
      </c>
      <c r="D257" s="39">
        <v>85</v>
      </c>
      <c r="E257" s="39">
        <v>73</v>
      </c>
      <c r="F257" s="39">
        <v>71</v>
      </c>
      <c r="G257" s="39">
        <v>76</v>
      </c>
      <c r="H257" s="39">
        <v>76</v>
      </c>
      <c r="I257" s="39">
        <v>72</v>
      </c>
      <c r="J257" s="40">
        <f>=SUM(D257:I257)</f>
        <v>453</v>
      </c>
      <c r="K257" s="17">
        <f>=J257-MIN(E257,F257)</f>
        <v>382</v>
      </c>
      <c r="L257" s="41">
        <f>=(2.04*D257+246.4)*(1.1*(G257+H257)+186)</f>
        <v>148273.36</v>
      </c>
      <c r="M257" s="42" t="s"/>
      <c r="N257" s="42" t="s">
        <v>61</v>
      </c>
      <c r="O257" s="38" t="s">
        <v>604</v>
      </c>
      <c r="P257" s="121" t="s"/>
      <c r="Q257" s="121" t="s"/>
      <c r="R257" s="121" t="s"/>
      <c r="S257" s="38" t="s">
        <v>1023</v>
      </c>
    </row>
    <row r="258" spans="1:19" ht="13.55" hidden="1" customHeight="1">
      <c r="A258" s="38" t="s">
        <v>1024</v>
      </c>
      <c r="B258" s="38" t="s">
        <v>1025</v>
      </c>
      <c r="C258" s="38" t="s">
        <v>427</v>
      </c>
      <c r="D258" s="39">
        <v>85</v>
      </c>
      <c r="E258" s="39">
        <v>65</v>
      </c>
      <c r="F258" s="39">
        <v>65</v>
      </c>
      <c r="G258" s="39">
        <v>68</v>
      </c>
      <c r="H258" s="39">
        <v>67</v>
      </c>
      <c r="I258" s="39">
        <v>96</v>
      </c>
      <c r="J258" s="40">
        <f>=SUM(D258:I258)</f>
        <v>446</v>
      </c>
      <c r="K258" s="17">
        <f>=J258-MIN(E258,F258)</f>
        <v>381</v>
      </c>
      <c r="L258" s="41">
        <f>=(2.04*D258+246.4)*(1.1*(G258+H258)+186)</f>
        <v>140423.1</v>
      </c>
      <c r="M258" s="76" t="s"/>
      <c r="N258" s="76" t="s">
        <v>61</v>
      </c>
      <c r="O258" s="38" t="s">
        <v>612</v>
      </c>
      <c r="P258" s="121" t="s"/>
      <c r="Q258" s="121" t="s"/>
      <c r="R258" s="121" t="s"/>
      <c r="S258" s="38" t="s">
        <v>1026</v>
      </c>
    </row>
    <row r="259" spans="1:19" ht="13.55" hidden="1" customHeight="1">
      <c r="A259" s="38" t="s">
        <v>1027</v>
      </c>
      <c r="B259" s="38" t="s">
        <v>1028</v>
      </c>
      <c r="C259" s="38" t="s">
        <v>46</v>
      </c>
      <c r="D259" s="39">
        <v>72</v>
      </c>
      <c r="E259" s="39">
        <v>81</v>
      </c>
      <c r="F259" s="39">
        <v>29</v>
      </c>
      <c r="G259" s="39">
        <v>95</v>
      </c>
      <c r="H259" s="39">
        <v>90</v>
      </c>
      <c r="I259" s="39">
        <v>42</v>
      </c>
      <c r="J259" s="40">
        <f>=SUM(D259:I259)</f>
        <v>409</v>
      </c>
      <c r="K259" s="17">
        <f>=J259-MIN(E259,F259)</f>
        <v>380</v>
      </c>
      <c r="L259" s="41">
        <f>=(2.04*D259+246.4)*(1.1*(G259+H259)+186)</f>
        <v>153182.56</v>
      </c>
      <c r="M259" s="76" t="s"/>
      <c r="N259" s="76" t="s">
        <v>61</v>
      </c>
      <c r="O259" s="38" t="s">
        <v>47</v>
      </c>
      <c r="P259" s="121" t="s"/>
      <c r="Q259" s="121" t="s"/>
      <c r="R259" s="121" t="s"/>
      <c r="S259" s="38" t="s">
        <v>1029</v>
      </c>
    </row>
    <row r="260" spans="1:19" ht="13.55" hidden="1" customHeight="1">
      <c r="A260" s="38" t="s">
        <v>1030</v>
      </c>
      <c r="B260" s="38" t="s">
        <v>1031</v>
      </c>
      <c r="C260" s="38" t="s">
        <v>633</v>
      </c>
      <c r="D260" s="39">
        <v>80</v>
      </c>
      <c r="E260" s="39">
        <v>85</v>
      </c>
      <c r="F260" s="39">
        <v>88</v>
      </c>
      <c r="G260" s="39">
        <v>59</v>
      </c>
      <c r="H260" s="39">
        <v>84</v>
      </c>
      <c r="I260" s="39">
        <v>68</v>
      </c>
      <c r="J260" s="40">
        <f>=SUM(D260:I260)</f>
        <v>464</v>
      </c>
      <c r="K260" s="17">
        <f>=J260-MIN(E260,F260)</f>
        <v>379</v>
      </c>
      <c r="L260" s="41">
        <f>=(2.04*D260+246.4)*(1.1*(G260+H260)+186)</f>
        <v>140615.68</v>
      </c>
      <c r="M260" s="42" t="s"/>
      <c r="N260" s="42" t="s">
        <v>61</v>
      </c>
      <c r="O260" s="38" t="s">
        <v>634</v>
      </c>
      <c r="P260" s="121" t="s"/>
      <c r="Q260" s="121" t="s"/>
      <c r="R260" s="121" t="s"/>
      <c r="S260" s="38" t="s">
        <v>1032</v>
      </c>
    </row>
    <row r="261" spans="1:19" ht="13.55" hidden="1" customHeight="1">
      <c r="A261" s="38" t="s">
        <v>1033</v>
      </c>
      <c r="B261" s="38" t="s">
        <v>1034</v>
      </c>
      <c r="C261" s="38" t="s">
        <v>360</v>
      </c>
      <c r="D261" s="39">
        <v>92</v>
      </c>
      <c r="E261" s="39">
        <v>79</v>
      </c>
      <c r="F261" s="39">
        <v>24</v>
      </c>
      <c r="G261" s="39">
        <v>66</v>
      </c>
      <c r="H261" s="39">
        <v>50</v>
      </c>
      <c r="I261" s="39">
        <v>92</v>
      </c>
      <c r="J261" s="40">
        <f>=SUM(D261:I261)</f>
        <v>403</v>
      </c>
      <c r="K261" s="17">
        <f>=J261-MIN(E261,F261)</f>
        <v>379</v>
      </c>
      <c r="L261" s="41">
        <f>=(2.04*D261+246.4)*(1.1*(G261+H261)+186)</f>
        <v>136127.488</v>
      </c>
      <c r="M261" s="76" t="s"/>
      <c r="N261" s="76" t="s">
        <v>61</v>
      </c>
      <c r="O261" s="38" t="s">
        <v>620</v>
      </c>
      <c r="P261" s="121" t="s"/>
      <c r="Q261" s="121" t="s"/>
      <c r="R261" s="121" t="s"/>
      <c r="S261" s="38" t="s">
        <v>1035</v>
      </c>
    </row>
    <row r="262" spans="1:19" ht="13.55" hidden="1" customHeight="1">
      <c r="A262" s="38" t="s">
        <v>1036</v>
      </c>
      <c r="B262" s="38" t="s">
        <v>1037</v>
      </c>
      <c r="C262" s="38" t="s">
        <v>628</v>
      </c>
      <c r="D262" s="39">
        <v>67</v>
      </c>
      <c r="E262" s="39">
        <v>64</v>
      </c>
      <c r="F262" s="39">
        <v>17</v>
      </c>
      <c r="G262" s="39">
        <v>81</v>
      </c>
      <c r="H262" s="39">
        <v>59</v>
      </c>
      <c r="I262" s="39">
        <v>108</v>
      </c>
      <c r="J262" s="40">
        <f>=SUM(D262:I262)</f>
        <v>396</v>
      </c>
      <c r="K262" s="17">
        <f>=J262-MIN(E262,F262)</f>
        <v>379</v>
      </c>
      <c r="L262" s="41">
        <f>=(2.04*D262+246.4)*(1.1*(G262+H262)+186)</f>
        <v>130247.2</v>
      </c>
      <c r="M262" s="76" t="s"/>
      <c r="N262" s="76" t="s">
        <v>61</v>
      </c>
      <c r="O262" s="38" t="s">
        <v>629</v>
      </c>
      <c r="P262" s="121" t="s"/>
      <c r="Q262" s="121" t="s"/>
      <c r="R262" s="121" t="s"/>
      <c r="S262" s="38" t="s">
        <v>1038</v>
      </c>
    </row>
    <row r="263" spans="1:19" ht="13.55" hidden="1" customHeight="1">
      <c r="A263" s="38" t="s">
        <v>1039</v>
      </c>
      <c r="B263" s="38" t="s">
        <v>1040</v>
      </c>
      <c r="C263" s="38" t="s">
        <v>65</v>
      </c>
      <c r="D263" s="39">
        <v>75</v>
      </c>
      <c r="E263" s="39">
        <v>51</v>
      </c>
      <c r="F263" s="39">
        <v>51</v>
      </c>
      <c r="G263" s="39">
        <v>90</v>
      </c>
      <c r="H263" s="39">
        <v>70</v>
      </c>
      <c r="I263" s="39">
        <v>92</v>
      </c>
      <c r="J263" s="40">
        <f>=SUM(D263:I263)</f>
        <v>429</v>
      </c>
      <c r="K263" s="17">
        <f>=J263-MIN(E263,F263)</f>
        <v>378</v>
      </c>
      <c r="L263" s="41">
        <f>=(2.04*D263+246.4)*(1.1*(G263+H263)+186)</f>
        <v>144582.8</v>
      </c>
      <c r="M263" s="42" t="s"/>
      <c r="N263" s="42" t="s">
        <v>61</v>
      </c>
      <c r="O263" s="38" t="s">
        <v>647</v>
      </c>
      <c r="P263" s="121" t="s"/>
      <c r="Q263" s="121" t="s"/>
      <c r="R263" s="121" t="s"/>
      <c r="S263" s="38" t="s">
        <v>1041</v>
      </c>
    </row>
    <row r="264" spans="1:19" ht="13.55" hidden="1" customHeight="1">
      <c r="A264" s="38" t="s">
        <v>1042</v>
      </c>
      <c r="B264" s="38" t="s">
        <v>1043</v>
      </c>
      <c r="C264" s="38" t="s">
        <v>427</v>
      </c>
      <c r="D264" s="39">
        <v>62</v>
      </c>
      <c r="E264" s="39">
        <v>66</v>
      </c>
      <c r="F264" s="39">
        <v>66</v>
      </c>
      <c r="G264" s="39">
        <v>73</v>
      </c>
      <c r="H264" s="39">
        <v>76</v>
      </c>
      <c r="I264" s="39">
        <v>100</v>
      </c>
      <c r="J264" s="40">
        <f>=SUM(D264:I264)</f>
        <v>443</v>
      </c>
      <c r="K264" s="17">
        <f>=J264-MIN(E264,F264)</f>
        <v>377</v>
      </c>
      <c r="L264" s="41">
        <f>=(2.04*D264+246.4)*(1.1*(G264+H264)+186)</f>
        <v>130470.712</v>
      </c>
      <c r="M264" s="76" t="s"/>
      <c r="N264" s="76" t="s">
        <v>61</v>
      </c>
      <c r="O264" s="38" t="s">
        <v>651</v>
      </c>
      <c r="P264" s="121" t="s"/>
      <c r="Q264" s="121" t="s"/>
      <c r="R264" s="121" t="s"/>
      <c r="S264" s="38" t="s">
        <v>1044</v>
      </c>
    </row>
    <row r="265" spans="1:19" ht="13.55" hidden="1" customHeight="1">
      <c r="A265" s="38" t="s">
        <v>1045</v>
      </c>
      <c r="B265" s="38" t="s">
        <v>1046</v>
      </c>
      <c r="C265" s="38" t="s">
        <v>638</v>
      </c>
      <c r="D265" s="39">
        <v>97</v>
      </c>
      <c r="E265" s="39">
        <v>53</v>
      </c>
      <c r="F265" s="39">
        <v>57</v>
      </c>
      <c r="G265" s="39">
        <v>67</v>
      </c>
      <c r="H265" s="39">
        <v>75</v>
      </c>
      <c r="I265" s="39">
        <v>80</v>
      </c>
      <c r="J265" s="40">
        <f>=SUM(D265:I265)</f>
        <v>429</v>
      </c>
      <c r="K265" s="17">
        <f>=J265-MIN(E265,F265)</f>
        <v>376</v>
      </c>
      <c r="L265" s="41">
        <f>=(2.04*D265+246.4)*(1.1*(G265+H265)+186)</f>
        <v>152032.616</v>
      </c>
      <c r="M265" s="42" t="s"/>
      <c r="N265" s="42" t="s">
        <v>61</v>
      </c>
      <c r="O265" s="38" t="s">
        <v>639</v>
      </c>
      <c r="P265" s="121" t="s"/>
      <c r="Q265" s="121" t="s"/>
      <c r="R265" s="121" t="s"/>
      <c r="S265" s="38" t="s">
        <v>1047</v>
      </c>
    </row>
    <row r="266" spans="1:19" ht="13.55" hidden="1" customHeight="1">
      <c r="A266" s="38" t="s">
        <v>1048</v>
      </c>
      <c r="B266" s="38" t="s">
        <v>1049</v>
      </c>
      <c r="C266" s="38" t="s">
        <v>85</v>
      </c>
      <c r="D266" s="39">
        <v>86</v>
      </c>
      <c r="E266" s="39">
        <v>94</v>
      </c>
      <c r="F266" s="39">
        <v>38</v>
      </c>
      <c r="G266" s="39">
        <v>81</v>
      </c>
      <c r="H266" s="39">
        <v>66</v>
      </c>
      <c r="I266" s="39">
        <v>45</v>
      </c>
      <c r="J266" s="40">
        <f>=SUM(D266:I266)</f>
        <v>410</v>
      </c>
      <c r="K266" s="17">
        <f>=J266-MIN(E266,F266)</f>
        <v>372</v>
      </c>
      <c r="L266" s="41">
        <f>=(2.04*D266+246.4)*(1.1*(G266+H266)+186)</f>
        <v>146673.768</v>
      </c>
      <c r="M266" s="42" t="s"/>
      <c r="N266" s="42" t="s">
        <v>61</v>
      </c>
      <c r="O266" s="38" t="s">
        <v>52</v>
      </c>
      <c r="P266" s="121" t="s"/>
      <c r="Q266" s="121" t="s"/>
      <c r="R266" s="121" t="s"/>
      <c r="S266" s="38" t="s">
        <v>1050</v>
      </c>
    </row>
    <row r="267" spans="1:19" ht="13.55" hidden="1" customHeight="1">
      <c r="A267" s="38" t="s">
        <v>1051</v>
      </c>
      <c r="B267" s="38" t="s">
        <v>1052</v>
      </c>
      <c r="C267" s="38" t="s">
        <v>41</v>
      </c>
      <c r="D267" s="39">
        <v>58</v>
      </c>
      <c r="E267" s="39">
        <v>81</v>
      </c>
      <c r="F267" s="39">
        <v>22</v>
      </c>
      <c r="G267" s="39">
        <v>91</v>
      </c>
      <c r="H267" s="39">
        <v>70</v>
      </c>
      <c r="I267" s="39">
        <v>72</v>
      </c>
      <c r="J267" s="40">
        <f>=SUM(D267:I267)</f>
        <v>394</v>
      </c>
      <c r="K267" s="17">
        <f>=J267-MIN(E267,F267)</f>
        <v>372</v>
      </c>
      <c r="L267" s="41">
        <f>=(2.04*D267+246.4)*(1.1*(G267+H267)+186)</f>
        <v>132429.832</v>
      </c>
      <c r="M267" s="76" t="s"/>
      <c r="N267" s="76" t="s">
        <v>61</v>
      </c>
      <c r="O267" s="38" t="s">
        <v>655</v>
      </c>
      <c r="P267" s="121" t="s"/>
      <c r="Q267" s="121" t="s"/>
      <c r="R267" s="121" t="s"/>
      <c r="S267" s="38" t="s">
        <v>1053</v>
      </c>
    </row>
    <row r="268" spans="1:19" ht="13.55" hidden="1" customHeight="1">
      <c r="A268" s="38" t="s">
        <v>1054</v>
      </c>
      <c r="B268" s="38" t="s">
        <v>1055</v>
      </c>
      <c r="C268" s="38" t="s">
        <v>665</v>
      </c>
      <c r="D268" s="39">
        <v>88</v>
      </c>
      <c r="E268" s="39">
        <v>55</v>
      </c>
      <c r="F268" s="39">
        <v>8</v>
      </c>
      <c r="G268" s="39">
        <v>79</v>
      </c>
      <c r="H268" s="39">
        <v>67</v>
      </c>
      <c r="I268" s="39">
        <v>80</v>
      </c>
      <c r="J268" s="40">
        <f>=SUM(D268:I268)</f>
        <v>377</v>
      </c>
      <c r="K268" s="17">
        <f>=J268-MIN(E268,F268)</f>
        <v>369</v>
      </c>
      <c r="L268" s="41">
        <f>=(2.04*D268+246.4)*(1.1*(G268+H268)+186)</f>
        <v>147623.872</v>
      </c>
      <c r="M268" s="42" t="s"/>
      <c r="N268" s="42" t="s">
        <v>61</v>
      </c>
      <c r="O268" s="38" t="s">
        <v>666</v>
      </c>
      <c r="P268" s="121" t="s"/>
      <c r="Q268" s="121" t="s"/>
      <c r="R268" s="121" t="s"/>
      <c r="S268" s="38" t="s">
        <v>1056</v>
      </c>
    </row>
    <row r="269" spans="1:19" ht="13.55" hidden="1" customHeight="1">
      <c r="A269" s="38" t="s">
        <v>1057</v>
      </c>
      <c r="B269" s="38" t="s">
        <v>1058</v>
      </c>
      <c r="C269" s="38" t="s">
        <v>144</v>
      </c>
      <c r="D269" s="39">
        <v>94</v>
      </c>
      <c r="E269" s="39">
        <v>9</v>
      </c>
      <c r="F269" s="39">
        <v>49</v>
      </c>
      <c r="G269" s="39">
        <v>72</v>
      </c>
      <c r="H269" s="39">
        <v>85</v>
      </c>
      <c r="I269" s="39">
        <v>64</v>
      </c>
      <c r="J269" s="40">
        <f>=SUM(D269:I269)</f>
        <v>373</v>
      </c>
      <c r="K269" s="17">
        <f>=J269-MIN(E269,F269)</f>
        <v>364</v>
      </c>
      <c r="L269" s="41">
        <f>=(2.04*D269+246.4)*(1.1*(G269+H269)+186)</f>
        <v>157167.992</v>
      </c>
      <c r="M269" s="42" t="s"/>
      <c r="N269" s="42" t="s">
        <v>61</v>
      </c>
      <c r="O269" s="38" t="s">
        <v>690</v>
      </c>
      <c r="P269" s="121" t="s"/>
      <c r="Q269" s="121" t="s"/>
      <c r="R269" s="121" t="s"/>
      <c r="S269" s="38" t="s">
        <v>1059</v>
      </c>
    </row>
    <row r="270" spans="1:19" ht="13.55" hidden="1" customHeight="1">
      <c r="A270" s="38" t="s">
        <v>1060</v>
      </c>
      <c r="B270" s="38" t="s">
        <v>1061</v>
      </c>
      <c r="C270" s="38" t="s">
        <v>360</v>
      </c>
      <c r="D270" s="39">
        <v>85</v>
      </c>
      <c r="E270" s="39">
        <v>77</v>
      </c>
      <c r="F270" s="39">
        <v>77</v>
      </c>
      <c r="G270" s="39">
        <v>75</v>
      </c>
      <c r="H270" s="39">
        <v>79</v>
      </c>
      <c r="I270" s="39">
        <v>44</v>
      </c>
      <c r="J270" s="40">
        <f>=SUM(D270:I270)</f>
        <v>437</v>
      </c>
      <c r="K270" s="17">
        <f>=J270-MIN(E270,F270)</f>
        <v>360</v>
      </c>
      <c r="L270" s="41">
        <f>=(2.04*D270+246.4)*(1.1*(G270+H270)+186)</f>
        <v>149196.92</v>
      </c>
      <c r="M270" s="76" t="s"/>
      <c r="N270" s="76" t="s">
        <v>61</v>
      </c>
      <c r="O270" s="38" t="s">
        <v>713</v>
      </c>
      <c r="P270" s="121" t="s"/>
      <c r="Q270" s="121" t="s"/>
      <c r="R270" s="121" t="s"/>
      <c r="S270" s="38" t="s">
        <v>1062</v>
      </c>
    </row>
    <row r="271" spans="1:19" ht="13.55" hidden="1" customHeight="1">
      <c r="A271" s="38" t="s">
        <v>1063</v>
      </c>
      <c r="B271" s="38" t="s">
        <v>1064</v>
      </c>
      <c r="C271" s="38" t="s">
        <v>730</v>
      </c>
      <c r="D271" s="39">
        <v>74</v>
      </c>
      <c r="E271" s="39">
        <v>49</v>
      </c>
      <c r="F271" s="39">
        <v>49</v>
      </c>
      <c r="G271" s="39">
        <v>73</v>
      </c>
      <c r="H271" s="39">
        <v>73</v>
      </c>
      <c r="I271" s="39">
        <v>88</v>
      </c>
      <c r="J271" s="40">
        <f>=SUM(D271:I271)</f>
        <v>406</v>
      </c>
      <c r="K271" s="17">
        <f>=J271-MIN(E271,F271)</f>
        <v>357</v>
      </c>
      <c r="L271" s="41">
        <f>=(2.04*D271+246.4)*(1.1*(G271+H271)+186)</f>
        <v>137724.976</v>
      </c>
      <c r="M271" s="76" t="s"/>
      <c r="N271" s="76" t="s">
        <v>61</v>
      </c>
      <c r="O271" s="38" t="s">
        <v>731</v>
      </c>
      <c r="P271" s="121" t="s"/>
      <c r="Q271" s="121" t="s"/>
      <c r="R271" s="121" t="s"/>
      <c r="S271" s="38" t="s">
        <v>1065</v>
      </c>
    </row>
    <row r="272" spans="1:19" ht="13.55" hidden="1" customHeight="1">
      <c r="A272" s="38" t="s">
        <v>1066</v>
      </c>
      <c r="B272" s="38" t="s">
        <v>1067</v>
      </c>
      <c r="C272" s="38" t="s">
        <v>503</v>
      </c>
      <c r="D272" s="39">
        <v>74</v>
      </c>
      <c r="E272" s="39">
        <v>93</v>
      </c>
      <c r="F272" s="39">
        <v>33</v>
      </c>
      <c r="G272" s="39">
        <v>69</v>
      </c>
      <c r="H272" s="39">
        <v>52</v>
      </c>
      <c r="I272" s="39">
        <v>68</v>
      </c>
      <c r="J272" s="40">
        <f>=SUM(D272:I272)</f>
        <v>389</v>
      </c>
      <c r="K272" s="17">
        <f>=J272-MIN(E272,F272)</f>
        <v>356</v>
      </c>
      <c r="L272" s="41">
        <f>=(2.04*D272+246.4)*(1.1*(G272+H272)+186)</f>
        <v>126797.576</v>
      </c>
      <c r="M272" s="42" t="s"/>
      <c r="N272" s="42" t="s">
        <v>61</v>
      </c>
      <c r="O272" s="38" t="s">
        <v>504</v>
      </c>
      <c r="P272" s="121" t="s"/>
      <c r="Q272" s="121" t="s"/>
      <c r="R272" s="121" t="s"/>
      <c r="S272" s="38" t="s">
        <v>1068</v>
      </c>
    </row>
    <row r="273" spans="1:19" ht="13.55" hidden="1" customHeight="1">
      <c r="A273" s="38" t="s">
        <v>1069</v>
      </c>
      <c r="B273" s="38" t="s">
        <v>1070</v>
      </c>
      <c r="C273" s="38" t="s">
        <v>248</v>
      </c>
      <c r="D273" s="39">
        <v>59</v>
      </c>
      <c r="E273" s="39">
        <v>74</v>
      </c>
      <c r="F273" s="39">
        <v>67</v>
      </c>
      <c r="G273" s="39">
        <v>52</v>
      </c>
      <c r="H273" s="39">
        <v>64</v>
      </c>
      <c r="I273" s="39">
        <v>100</v>
      </c>
      <c r="J273" s="40">
        <f>=SUM(D273:I273)</f>
        <v>416</v>
      </c>
      <c r="K273" s="17">
        <f>=J273-MIN(E273,F273)</f>
        <v>349</v>
      </c>
      <c r="L273" s="41">
        <f>=(2.04*D273+246.4)*(1.1*(G273+H273)+186)</f>
        <v>115015.936</v>
      </c>
      <c r="M273" s="76" t="s"/>
      <c r="N273" s="76" t="s">
        <v>61</v>
      </c>
      <c r="O273" s="38" t="s">
        <v>763</v>
      </c>
      <c r="P273" s="121" t="s"/>
      <c r="Q273" s="121" t="s"/>
      <c r="R273" s="121" t="s"/>
      <c r="S273" s="38" t="s">
        <v>1071</v>
      </c>
    </row>
    <row r="274" spans="1:19" ht="13.55" hidden="1" customHeight="1">
      <c r="A274" s="38" t="s">
        <v>1072</v>
      </c>
      <c r="B274" s="38" t="s">
        <v>1073</v>
      </c>
      <c r="C274" s="38" t="s">
        <v>65</v>
      </c>
      <c r="D274" s="39">
        <v>79</v>
      </c>
      <c r="E274" s="39">
        <v>65</v>
      </c>
      <c r="F274" s="39">
        <v>65</v>
      </c>
      <c r="G274" s="39">
        <v>77</v>
      </c>
      <c r="H274" s="39">
        <v>50</v>
      </c>
      <c r="I274" s="39">
        <v>75</v>
      </c>
      <c r="J274" s="40">
        <f>=SUM(D274:I274)</f>
        <v>411</v>
      </c>
      <c r="K274" s="17">
        <f>=J274-MIN(E274,F274)</f>
        <v>346</v>
      </c>
      <c r="L274" s="41">
        <f>=(2.04*D274+246.4)*(1.1*(G274+H274)+186)</f>
        <v>132742.292</v>
      </c>
      <c r="M274" s="76" t="s"/>
      <c r="N274" s="76" t="s">
        <v>61</v>
      </c>
      <c r="O274" s="38" t="s">
        <v>66</v>
      </c>
      <c r="P274" s="121" t="s"/>
      <c r="Q274" s="121" t="s"/>
      <c r="R274" s="121" t="s"/>
      <c r="S274" s="38" t="s">
        <v>1074</v>
      </c>
    </row>
    <row r="275" spans="1:19" ht="13.55" hidden="1" customHeight="1">
      <c r="A275" s="38" t="s">
        <v>1075</v>
      </c>
      <c r="B275" s="38" t="s">
        <v>1076</v>
      </c>
      <c r="C275" s="38" t="s">
        <v>70</v>
      </c>
      <c r="D275" s="39">
        <v>63</v>
      </c>
      <c r="E275" s="39">
        <v>83</v>
      </c>
      <c r="F275" s="39">
        <v>34</v>
      </c>
      <c r="G275" s="39">
        <v>77</v>
      </c>
      <c r="H275" s="39">
        <v>60</v>
      </c>
      <c r="I275" s="39">
        <v>63</v>
      </c>
      <c r="J275" s="40">
        <f>=SUM(D275:I275)</f>
        <v>380</v>
      </c>
      <c r="K275" s="17">
        <f>=J275-MIN(E275,F275)</f>
        <v>346</v>
      </c>
      <c r="L275" s="41">
        <f>=(2.04*D275+246.4)*(1.1*(G275+H275)+186)</f>
        <v>126235.564</v>
      </c>
      <c r="M275" s="76" t="s"/>
      <c r="N275" s="76" t="s">
        <v>61</v>
      </c>
      <c r="O275" s="38" t="s">
        <v>71</v>
      </c>
      <c r="P275" s="121" t="s"/>
      <c r="Q275" s="121" t="s"/>
      <c r="R275" s="121" t="s"/>
      <c r="S275" s="38" t="s">
        <v>1077</v>
      </c>
    </row>
    <row r="276" spans="1:19" ht="13.55" hidden="1" customHeight="1">
      <c r="A276" s="38" t="s">
        <v>1078</v>
      </c>
      <c r="B276" s="38" t="s">
        <v>1079</v>
      </c>
      <c r="C276" s="38" t="s">
        <v>80</v>
      </c>
      <c r="D276" s="39">
        <v>78</v>
      </c>
      <c r="E276" s="39">
        <v>76</v>
      </c>
      <c r="F276" s="39">
        <v>34</v>
      </c>
      <c r="G276" s="39">
        <v>79</v>
      </c>
      <c r="H276" s="39">
        <v>52</v>
      </c>
      <c r="I276" s="39">
        <v>60</v>
      </c>
      <c r="J276" s="40">
        <f>=SUM(D276:I276)</f>
        <v>379</v>
      </c>
      <c r="K276" s="17">
        <f>=J276-MIN(E276,F276)</f>
        <v>345</v>
      </c>
      <c r="L276" s="41">
        <f>=(2.04*D276+246.4)*(1.1*(G276+H276)+186)</f>
        <v>133862.152</v>
      </c>
      <c r="M276" s="76" t="s"/>
      <c r="N276" s="76" t="s">
        <v>61</v>
      </c>
      <c r="O276" s="38" t="s">
        <v>81</v>
      </c>
      <c r="P276" s="121" t="s"/>
      <c r="Q276" s="121" t="s"/>
      <c r="R276" s="121" t="s"/>
      <c r="S276" s="38" t="s">
        <v>1080</v>
      </c>
    </row>
    <row r="277" spans="1:19" ht="13.55" hidden="1" customHeight="1">
      <c r="A277" s="38" t="s">
        <v>1081</v>
      </c>
      <c r="B277" s="38" t="s">
        <v>1082</v>
      </c>
      <c r="C277" s="38" t="s">
        <v>572</v>
      </c>
      <c r="D277" s="39">
        <v>65</v>
      </c>
      <c r="E277" s="39">
        <v>62</v>
      </c>
      <c r="F277" s="39">
        <v>62</v>
      </c>
      <c r="G277" s="39">
        <v>61</v>
      </c>
      <c r="H277" s="39">
        <v>77</v>
      </c>
      <c r="I277" s="39">
        <v>80</v>
      </c>
      <c r="J277" s="40">
        <f>=SUM(D277:I277)</f>
        <v>407</v>
      </c>
      <c r="K277" s="17">
        <f>=J277-MIN(E277,F277)</f>
        <v>345</v>
      </c>
      <c r="L277" s="41">
        <f>=(2.04*D277+246.4)*(1.1*(G277+H277)+186)</f>
        <v>128026.2</v>
      </c>
      <c r="M277" s="42" t="s"/>
      <c r="N277" s="42" t="s">
        <v>61</v>
      </c>
      <c r="O277" s="38" t="s">
        <v>785</v>
      </c>
      <c r="P277" s="121" t="s"/>
      <c r="Q277" s="121" t="s"/>
      <c r="R277" s="121" t="s"/>
      <c r="S277" s="38" t="s">
        <v>1083</v>
      </c>
    </row>
    <row r="278" spans="1:19" ht="13.55" hidden="1" customHeight="1">
      <c r="A278" s="38" t="s">
        <v>1084</v>
      </c>
      <c r="B278" s="38" t="s">
        <v>1085</v>
      </c>
      <c r="C278" s="38" t="s">
        <v>90</v>
      </c>
      <c r="D278" s="39">
        <v>75</v>
      </c>
      <c r="E278" s="39">
        <v>57</v>
      </c>
      <c r="F278" s="39">
        <v>52</v>
      </c>
      <c r="G278" s="39">
        <v>83</v>
      </c>
      <c r="H278" s="39">
        <v>58</v>
      </c>
      <c r="I278" s="39">
        <v>69</v>
      </c>
      <c r="J278" s="40">
        <f>=SUM(D278:I278)</f>
        <v>394</v>
      </c>
      <c r="K278" s="17">
        <f>=J278-MIN(E278,F278)</f>
        <v>342</v>
      </c>
      <c r="L278" s="41">
        <f>=(2.04*D278+246.4)*(1.1*(G278+H278)+186)</f>
        <v>136235.34</v>
      </c>
      <c r="M278" s="76" t="s"/>
      <c r="N278" s="76" t="s">
        <v>61</v>
      </c>
      <c r="O278" s="38" t="s">
        <v>91</v>
      </c>
      <c r="P278" s="121" t="s"/>
      <c r="Q278" s="121" t="s"/>
      <c r="R278" s="121" t="s"/>
      <c r="S278" s="38" t="s">
        <v>1086</v>
      </c>
    </row>
    <row r="279" spans="1:19" ht="13.55" hidden="1" customHeight="1">
      <c r="A279" s="38" t="s">
        <v>1087</v>
      </c>
      <c r="B279" s="38" t="s">
        <v>1088</v>
      </c>
      <c r="C279" s="38" t="s">
        <v>360</v>
      </c>
      <c r="D279" s="39">
        <v>59</v>
      </c>
      <c r="E279" s="39">
        <v>60</v>
      </c>
      <c r="F279" s="39">
        <v>16</v>
      </c>
      <c r="G279" s="39">
        <v>65</v>
      </c>
      <c r="H279" s="39">
        <v>53</v>
      </c>
      <c r="I279" s="39">
        <v>104</v>
      </c>
      <c r="J279" s="40">
        <f>=SUM(D279:I279)</f>
        <v>357</v>
      </c>
      <c r="K279" s="17">
        <f>=J279-MIN(E279,F279)</f>
        <v>341</v>
      </c>
      <c r="L279" s="41">
        <f>=(2.04*D279+246.4)*(1.1*(G279+H279)+186)</f>
        <v>115822.808</v>
      </c>
      <c r="M279" s="76" t="s"/>
      <c r="N279" s="76" t="s">
        <v>61</v>
      </c>
      <c r="O279" s="38" t="s">
        <v>814</v>
      </c>
      <c r="P279" s="121" t="s"/>
      <c r="Q279" s="121" t="s"/>
      <c r="R279" s="121" t="s"/>
      <c r="S279" s="38" t="s">
        <v>1089</v>
      </c>
    </row>
    <row r="280" spans="1:19" ht="13.55" hidden="1" customHeight="1">
      <c r="A280" s="38" t="s">
        <v>1090</v>
      </c>
      <c r="B280" s="38" t="s">
        <v>1091</v>
      </c>
      <c r="C280" s="38" t="s">
        <v>100</v>
      </c>
      <c r="D280" s="39">
        <v>79</v>
      </c>
      <c r="E280" s="39">
        <v>46</v>
      </c>
      <c r="F280" s="39">
        <v>78</v>
      </c>
      <c r="G280" s="39">
        <v>51</v>
      </c>
      <c r="H280" s="39">
        <v>98</v>
      </c>
      <c r="I280" s="39">
        <v>33</v>
      </c>
      <c r="J280" s="40">
        <f>=SUM(D280:I280)</f>
        <v>385</v>
      </c>
      <c r="K280" s="17">
        <f>=J280-MIN(E280,F280)</f>
        <v>339</v>
      </c>
      <c r="L280" s="41">
        <f>=(2.04*D280+246.4)*(1.1*(G280+H280)+186)</f>
        <v>142605.244</v>
      </c>
      <c r="M280" s="42" t="s"/>
      <c r="N280" s="42" t="s">
        <v>61</v>
      </c>
      <c r="O280" s="38" t="s">
        <v>101</v>
      </c>
      <c r="P280" s="121" t="s"/>
      <c r="Q280" s="121" t="s"/>
      <c r="R280" s="121" t="s"/>
      <c r="S280" s="38" t="s">
        <v>1092</v>
      </c>
    </row>
    <row r="281" spans="1:19" ht="13.55" hidden="1" customHeight="1">
      <c r="A281" s="38" t="s">
        <v>1093</v>
      </c>
      <c r="B281" s="38" t="s">
        <v>1094</v>
      </c>
      <c r="C281" s="38" t="s">
        <v>85</v>
      </c>
      <c r="D281" s="39">
        <v>61</v>
      </c>
      <c r="E281" s="39">
        <v>32</v>
      </c>
      <c r="F281" s="39">
        <v>78</v>
      </c>
      <c r="G281" s="39">
        <v>56</v>
      </c>
      <c r="H281" s="39">
        <v>72</v>
      </c>
      <c r="I281" s="39">
        <v>72</v>
      </c>
      <c r="J281" s="40">
        <f>=SUM(D281:I281)</f>
        <v>371</v>
      </c>
      <c r="K281" s="17">
        <f>=J281-MIN(E281,F281)</f>
        <v>339</v>
      </c>
      <c r="L281" s="41">
        <f>=(2.04*D281+246.4)*(1.1*(G281+H281)+186)</f>
        <v>121190.512</v>
      </c>
      <c r="M281" s="76" t="s"/>
      <c r="N281" s="76" t="s">
        <v>61</v>
      </c>
      <c r="O281" s="38" t="s">
        <v>96</v>
      </c>
      <c r="P281" s="121" t="s"/>
      <c r="Q281" s="121" t="s"/>
      <c r="R281" s="121" t="s"/>
      <c r="S281" s="38" t="s">
        <v>1095</v>
      </c>
    </row>
    <row r="282" spans="1:19" ht="13.55" hidden="1" customHeight="1">
      <c r="A282" s="38" t="s">
        <v>1096</v>
      </c>
      <c r="B282" s="38" t="s">
        <v>1097</v>
      </c>
      <c r="C282" s="38" t="s">
        <v>125</v>
      </c>
      <c r="D282" s="39">
        <v>75</v>
      </c>
      <c r="E282" s="39">
        <v>35</v>
      </c>
      <c r="F282" s="39">
        <v>76</v>
      </c>
      <c r="G282" s="39">
        <v>56</v>
      </c>
      <c r="H282" s="39">
        <v>79</v>
      </c>
      <c r="I282" s="39">
        <v>51</v>
      </c>
      <c r="J282" s="40">
        <f>=SUM(D282:I282)</f>
        <v>372</v>
      </c>
      <c r="K282" s="17">
        <f>=J282-MIN(E282,F282)</f>
        <v>337</v>
      </c>
      <c r="L282" s="41">
        <f>=(2.04*D282+246.4)*(1.1*(G282+H282)+186)</f>
        <v>133599.3</v>
      </c>
      <c r="M282" s="76" t="s"/>
      <c r="N282" s="76" t="s">
        <v>61</v>
      </c>
      <c r="O282" s="38" t="s">
        <v>126</v>
      </c>
      <c r="P282" s="121" t="s"/>
      <c r="Q282" s="121" t="s"/>
      <c r="R282" s="121" t="s"/>
      <c r="S282" s="38" t="s">
        <v>1098</v>
      </c>
    </row>
    <row r="283" spans="1:19" ht="13.55" hidden="1" customHeight="1">
      <c r="A283" s="38" t="s">
        <v>1099</v>
      </c>
      <c r="B283" s="38" t="s">
        <v>1100</v>
      </c>
      <c r="C283" s="38" t="s">
        <v>144</v>
      </c>
      <c r="D283" s="39">
        <v>55</v>
      </c>
      <c r="E283" s="39">
        <v>30</v>
      </c>
      <c r="F283" s="39">
        <v>72</v>
      </c>
      <c r="G283" s="39">
        <v>59</v>
      </c>
      <c r="H283" s="39">
        <v>81</v>
      </c>
      <c r="I283" s="39">
        <v>69</v>
      </c>
      <c r="J283" s="40">
        <f>=SUM(D283:I283)</f>
        <v>366</v>
      </c>
      <c r="K283" s="17">
        <f>=J283-MIN(E283,F283)</f>
        <v>336</v>
      </c>
      <c r="L283" s="41">
        <f>=(2.04*D283+246.4)*(1.1*(G283+H283)+186)</f>
        <v>121924</v>
      </c>
      <c r="M283" s="76" t="s"/>
      <c r="N283" s="76" t="s">
        <v>61</v>
      </c>
      <c r="O283" s="38" t="s">
        <v>145</v>
      </c>
      <c r="P283" s="121" t="s"/>
      <c r="Q283" s="121" t="s"/>
      <c r="R283" s="121" t="s"/>
      <c r="S283" s="38" t="s">
        <v>1101</v>
      </c>
    </row>
    <row r="284" spans="1:19" ht="13.55" customHeight="1">
      <c r="A284" s="154" t="s">
        <v>566</v>
      </c>
      <c r="B284" s="154" t="s">
        <v>567</v>
      </c>
      <c r="C284" s="154" t="s">
        <v>360</v>
      </c>
      <c r="D284" s="155">
        <v>108</v>
      </c>
      <c r="E284" s="155">
        <v>52</v>
      </c>
      <c r="F284" s="155">
        <v>124</v>
      </c>
      <c r="G284" s="155">
        <v>80</v>
      </c>
      <c r="H284" s="155">
        <v>112</v>
      </c>
      <c r="I284" s="156">
        <v>60</v>
      </c>
      <c r="J284" s="157">
        <f>=SUM(D284:I284)</f>
        <v>536</v>
      </c>
      <c r="K284" s="158">
        <f>=J284-MIN(E284,F284)</f>
        <v>484</v>
      </c>
      <c r="L284" s="129">
        <f>=(2.04*D284+246.4)*(1.1*(G284+H284)+186)</f>
        <v>185381.184</v>
      </c>
      <c r="M284" s="15">
        <v>221</v>
      </c>
      <c r="N284" s="159" t="s">
        <v>56</v>
      </c>
      <c r="O284" s="154" t="s">
        <v>568</v>
      </c>
      <c r="P284" s="160" t="s"/>
      <c r="Q284" s="160" t="s"/>
      <c r="R284" s="160" t="s"/>
      <c r="S284" s="154" t="s">
        <v>569</v>
      </c>
    </row>
    <row r="285" spans="1:23" ht="13.55" customHeight="1">
      <c r="A285" s="154" t="s">
        <v>450</v>
      </c>
      <c r="B285" s="154" t="s">
        <v>451</v>
      </c>
      <c r="C285" s="154" t="s">
        <v>46</v>
      </c>
      <c r="D285" s="155">
        <v>110</v>
      </c>
      <c r="E285" s="155">
        <v>119</v>
      </c>
      <c r="F285" s="155">
        <v>51</v>
      </c>
      <c r="G285" s="155">
        <v>102</v>
      </c>
      <c r="H285" s="155">
        <v>70</v>
      </c>
      <c r="I285" s="156">
        <v>110</v>
      </c>
      <c r="J285" s="157">
        <f>=SUM(D285:I285)</f>
        <v>562</v>
      </c>
      <c r="K285" s="158">
        <f>=J285-MIN(E285,F285)</f>
        <v>511</v>
      </c>
      <c r="L285" s="129">
        <f>=(2.04*D285+246.4)*(1.1*(G285+H285)+186)</f>
        <v>176644.16</v>
      </c>
      <c r="M285" s="15">
        <v>224</v>
      </c>
      <c r="N285" s="159" t="s">
        <v>56</v>
      </c>
      <c r="O285" s="154" t="s">
        <v>452</v>
      </c>
      <c r="P285" s="160" t="s"/>
      <c r="Q285" s="160" t="s"/>
      <c r="R285" s="160" t="s"/>
      <c r="S285" s="154" t="s">
        <v>453</v>
      </c>
      <c r="T285" s="175" t="s"/>
      <c r="U285" s="175" t="s"/>
      <c r="V285" s="175" t="s"/>
      <c r="W285" s="175" t="s"/>
    </row>
    <row r="286" spans="1:19" ht="13.55" hidden="1" customHeight="1">
      <c r="A286" s="38" t="s">
        <v>1112</v>
      </c>
      <c r="B286" s="38" t="s">
        <v>1113</v>
      </c>
      <c r="C286" s="38" t="s">
        <v>36</v>
      </c>
      <c r="D286" s="39">
        <v>70</v>
      </c>
      <c r="E286" s="39">
        <v>84</v>
      </c>
      <c r="F286" s="39">
        <v>37</v>
      </c>
      <c r="G286" s="39">
        <v>56</v>
      </c>
      <c r="H286" s="39">
        <v>43</v>
      </c>
      <c r="I286" s="39">
        <v>78</v>
      </c>
      <c r="J286" s="40">
        <f>=SUM(D286:I286)</f>
        <v>368</v>
      </c>
      <c r="K286" s="17">
        <f>=J286-MIN(E286,F286)</f>
        <v>331</v>
      </c>
      <c r="L286" s="41">
        <f>=(2.04*D286+246.4)*(1.1*(G286+H286)+186)</f>
        <v>114775.08</v>
      </c>
      <c r="M286" s="76" t="s"/>
      <c r="N286" s="76" t="s">
        <v>61</v>
      </c>
      <c r="O286" s="38" t="s">
        <v>744</v>
      </c>
      <c r="P286" s="121" t="s"/>
      <c r="Q286" s="121" t="s"/>
      <c r="R286" s="121" t="s"/>
      <c r="S286" s="38" t="s">
        <v>1114</v>
      </c>
    </row>
    <row r="287" spans="1:19" ht="13.55" hidden="1" customHeight="1">
      <c r="A287" s="38" t="s">
        <v>1115</v>
      </c>
      <c r="B287" s="38" t="s">
        <v>1116</v>
      </c>
      <c r="C287" s="38" t="s">
        <v>184</v>
      </c>
      <c r="D287" s="39">
        <v>45</v>
      </c>
      <c r="E287" s="39">
        <v>70</v>
      </c>
      <c r="F287" s="39">
        <v>74</v>
      </c>
      <c r="G287" s="39">
        <v>67</v>
      </c>
      <c r="H287" s="39">
        <v>70</v>
      </c>
      <c r="I287" s="39">
        <v>75</v>
      </c>
      <c r="J287" s="40">
        <f>=SUM(D287:I287)</f>
        <v>401</v>
      </c>
      <c r="K287" s="17">
        <f>=J287-MIN(E287,F287)</f>
        <v>331</v>
      </c>
      <c r="L287" s="41">
        <f>=(2.04*D287+246.4)*(1.1*(G287+H287)+186)</f>
        <v>113871.94</v>
      </c>
      <c r="M287" s="42" t="s"/>
      <c r="N287" s="42" t="s">
        <v>61</v>
      </c>
      <c r="O287" s="38" t="s">
        <v>185</v>
      </c>
      <c r="P287" s="121" t="s"/>
      <c r="Q287" s="121" t="s"/>
      <c r="R287" s="121" t="s"/>
      <c r="S287" s="38" t="s">
        <v>1117</v>
      </c>
    </row>
    <row r="288" spans="1:19" ht="13.55" hidden="1" customHeight="1">
      <c r="A288" s="38" t="s">
        <v>1118</v>
      </c>
      <c r="B288" s="38" t="s">
        <v>1119</v>
      </c>
      <c r="C288" s="38" t="s">
        <v>175</v>
      </c>
      <c r="D288" s="39">
        <v>67</v>
      </c>
      <c r="E288" s="39">
        <v>28</v>
      </c>
      <c r="F288" s="39">
        <v>73</v>
      </c>
      <c r="G288" s="39">
        <v>60</v>
      </c>
      <c r="H288" s="39">
        <v>76</v>
      </c>
      <c r="I288" s="39">
        <v>54</v>
      </c>
      <c r="J288" s="40">
        <f>=SUM(D288:I288)</f>
        <v>358</v>
      </c>
      <c r="K288" s="17">
        <f>=J288-MIN(E288,F288)</f>
        <v>330</v>
      </c>
      <c r="L288" s="41">
        <f>=(2.04*D288+246.4)*(1.1*(G288+H288)+186)</f>
        <v>128561.648</v>
      </c>
      <c r="M288" s="76" t="s"/>
      <c r="N288" s="76" t="s">
        <v>61</v>
      </c>
      <c r="O288" s="38" t="s">
        <v>176</v>
      </c>
      <c r="P288" s="121" t="s"/>
      <c r="Q288" s="121" t="s"/>
      <c r="R288" s="121" t="s"/>
      <c r="S288" s="38" t="s">
        <v>1120</v>
      </c>
    </row>
    <row r="289" spans="1:19" ht="13.55" hidden="1" customHeight="1">
      <c r="A289" s="38" t="s">
        <v>1121</v>
      </c>
      <c r="B289" s="38" t="s">
        <v>1122</v>
      </c>
      <c r="C289" s="38" t="s">
        <v>18</v>
      </c>
      <c r="D289" s="39">
        <v>62</v>
      </c>
      <c r="E289" s="39">
        <v>81</v>
      </c>
      <c r="F289" s="39">
        <v>32</v>
      </c>
      <c r="G289" s="39">
        <v>76</v>
      </c>
      <c r="H289" s="39">
        <v>60</v>
      </c>
      <c r="I289" s="39">
        <v>51</v>
      </c>
      <c r="J289" s="40">
        <f>=SUM(D289:I289)</f>
        <v>362</v>
      </c>
      <c r="K289" s="17">
        <f>=J289-MIN(E289,F289)</f>
        <v>330</v>
      </c>
      <c r="L289" s="41">
        <f>=(2.04*D289+246.4)*(1.1*(G289+H289)+186)</f>
        <v>125138.528</v>
      </c>
      <c r="M289" s="42" t="s"/>
      <c r="N289" s="42" t="s">
        <v>61</v>
      </c>
      <c r="O289" s="38" t="s">
        <v>180</v>
      </c>
      <c r="P289" s="121" t="s"/>
      <c r="Q289" s="121" t="s"/>
      <c r="R289" s="121" t="s"/>
      <c r="S289" s="38" t="s">
        <v>1123</v>
      </c>
    </row>
    <row r="290" spans="1:19" ht="13.55" hidden="1" customHeight="1">
      <c r="A290" s="38" t="s">
        <v>1124</v>
      </c>
      <c r="B290" s="38" t="s">
        <v>1125</v>
      </c>
      <c r="C290" s="38" t="s">
        <v>125</v>
      </c>
      <c r="D290" s="39">
        <v>67</v>
      </c>
      <c r="E290" s="39">
        <v>28</v>
      </c>
      <c r="F290" s="39">
        <v>72</v>
      </c>
      <c r="G290" s="39">
        <v>64</v>
      </c>
      <c r="H290" s="39">
        <v>81</v>
      </c>
      <c r="I290" s="39">
        <v>45</v>
      </c>
      <c r="J290" s="40">
        <f>=SUM(D290:I290)</f>
        <v>357</v>
      </c>
      <c r="K290" s="17">
        <f>=J290-MIN(E290,F290)</f>
        <v>329</v>
      </c>
      <c r="L290" s="41">
        <f>=(2.04*D290+246.4)*(1.1*(G290+H290)+186)</f>
        <v>132354.14</v>
      </c>
      <c r="M290" s="76" t="s"/>
      <c r="N290" s="76" t="s">
        <v>61</v>
      </c>
      <c r="O290" s="38" t="s">
        <v>203</v>
      </c>
      <c r="P290" s="121" t="s"/>
      <c r="Q290" s="121" t="s"/>
      <c r="R290" s="121" t="s"/>
      <c r="S290" s="38" t="s">
        <v>1126</v>
      </c>
    </row>
    <row r="291" spans="1:19" ht="13.55" hidden="1" customHeight="1">
      <c r="A291" s="38" t="s">
        <v>1127</v>
      </c>
      <c r="B291" s="38" t="s">
        <v>1128</v>
      </c>
      <c r="C291" s="38" t="s">
        <v>115</v>
      </c>
      <c r="D291" s="39">
        <v>63</v>
      </c>
      <c r="E291" s="39">
        <v>88</v>
      </c>
      <c r="F291" s="39">
        <v>40</v>
      </c>
      <c r="G291" s="39">
        <v>67</v>
      </c>
      <c r="H291" s="39">
        <v>44</v>
      </c>
      <c r="I291" s="39">
        <v>66</v>
      </c>
      <c r="J291" s="40">
        <f>=SUM(D291:I291)</f>
        <v>368</v>
      </c>
      <c r="K291" s="17">
        <f>=J291-MIN(E291,F291)</f>
        <v>328</v>
      </c>
      <c r="L291" s="41">
        <f>=(2.04*D291+246.4)*(1.1*(G291+H291)+186)</f>
        <v>115512.852</v>
      </c>
      <c r="M291" s="76" t="s"/>
      <c r="N291" s="76" t="s">
        <v>61</v>
      </c>
      <c r="O291" s="38" t="s">
        <v>217</v>
      </c>
      <c r="P291" s="121" t="s"/>
      <c r="Q291" s="121" t="s"/>
      <c r="R291" s="121" t="s"/>
      <c r="S291" s="38" t="s">
        <v>1129</v>
      </c>
    </row>
    <row r="292" spans="1:19" ht="13.55" hidden="1" customHeight="1">
      <c r="A292" s="38" t="s">
        <v>1130</v>
      </c>
      <c r="B292" s="38" t="s">
        <v>1131</v>
      </c>
      <c r="C292" s="38" t="s">
        <v>212</v>
      </c>
      <c r="D292" s="39">
        <v>82</v>
      </c>
      <c r="E292" s="39">
        <v>31</v>
      </c>
      <c r="F292" s="39">
        <v>66</v>
      </c>
      <c r="G292" s="39">
        <v>53</v>
      </c>
      <c r="H292" s="39">
        <v>78</v>
      </c>
      <c r="I292" s="39">
        <v>48</v>
      </c>
      <c r="J292" s="40">
        <f>=SUM(D292:I292)</f>
        <v>358</v>
      </c>
      <c r="K292" s="17">
        <f>=J292-MIN(E292,F292)</f>
        <v>327</v>
      </c>
      <c r="L292" s="41">
        <f>=(2.04*D292+246.4)*(1.1*(G292+H292)+186)</f>
        <v>136555.768</v>
      </c>
      <c r="M292" s="76" t="s"/>
      <c r="N292" s="76" t="s">
        <v>61</v>
      </c>
      <c r="O292" s="38" t="s">
        <v>213</v>
      </c>
      <c r="P292" s="121" t="s"/>
      <c r="Q292" s="121" t="s"/>
      <c r="R292" s="121" t="s"/>
      <c r="S292" s="38" t="s">
        <v>1132</v>
      </c>
    </row>
    <row r="293" spans="1:19" ht="13.55" hidden="1" customHeight="1">
      <c r="A293" s="38" t="s">
        <v>1133</v>
      </c>
      <c r="B293" s="38" t="s">
        <v>1134</v>
      </c>
      <c r="C293" s="38" t="s">
        <v>130</v>
      </c>
      <c r="D293" s="39">
        <v>99</v>
      </c>
      <c r="E293" s="39">
        <v>50</v>
      </c>
      <c r="F293" s="39">
        <v>55</v>
      </c>
      <c r="G293" s="39">
        <v>40</v>
      </c>
      <c r="H293" s="39">
        <v>80</v>
      </c>
      <c r="I293" s="39">
        <v>48</v>
      </c>
      <c r="J293" s="40">
        <f>=SUM(D293:I293)</f>
        <v>372</v>
      </c>
      <c r="K293" s="17">
        <f>=J293-MIN(E293,F293)</f>
        <v>322</v>
      </c>
      <c r="L293" s="41">
        <f>=(2.04*D293+246.4)*(1.1*(G293+H293)+186)</f>
        <v>142578.48</v>
      </c>
      <c r="M293" s="42" t="s"/>
      <c r="N293" s="42" t="s">
        <v>61</v>
      </c>
      <c r="O293" s="38" t="s">
        <v>938</v>
      </c>
      <c r="P293" s="121" t="s"/>
      <c r="Q293" s="121" t="s"/>
      <c r="R293" s="121" t="s"/>
      <c r="S293" s="38" t="s">
        <v>1135</v>
      </c>
    </row>
    <row r="294" spans="1:19" ht="13.55" hidden="1" customHeight="1">
      <c r="A294" s="38" t="s">
        <v>1136</v>
      </c>
      <c r="B294" s="38" t="s">
        <v>1137</v>
      </c>
      <c r="C294" s="38" t="s">
        <v>253</v>
      </c>
      <c r="D294" s="39">
        <v>67</v>
      </c>
      <c r="E294" s="39">
        <v>59</v>
      </c>
      <c r="F294" s="39">
        <v>59</v>
      </c>
      <c r="G294" s="39">
        <v>87</v>
      </c>
      <c r="H294" s="39">
        <v>66</v>
      </c>
      <c r="I294" s="39">
        <v>42</v>
      </c>
      <c r="J294" s="40">
        <f>=SUM(D294:I294)</f>
        <v>380</v>
      </c>
      <c r="K294" s="17">
        <f>=J294-MIN(E294,F294)</f>
        <v>321</v>
      </c>
      <c r="L294" s="41">
        <f>=(2.04*D294+246.4)*(1.1*(G294+H294)+186)</f>
        <v>135725.244</v>
      </c>
      <c r="M294" s="76" t="s"/>
      <c r="N294" s="76" t="s">
        <v>61</v>
      </c>
      <c r="O294" s="38" t="s">
        <v>254</v>
      </c>
      <c r="P294" s="121" t="s"/>
      <c r="Q294" s="121" t="s"/>
      <c r="R294" s="121" t="s"/>
      <c r="S294" s="38" t="s">
        <v>1138</v>
      </c>
    </row>
    <row r="295" spans="1:19" ht="13.55" hidden="1" customHeight="1">
      <c r="A295" s="38" t="s">
        <v>1139</v>
      </c>
      <c r="B295" s="38" t="s">
        <v>1140</v>
      </c>
      <c r="C295" s="38" t="s">
        <v>267</v>
      </c>
      <c r="D295" s="39">
        <v>80</v>
      </c>
      <c r="E295" s="39">
        <v>95</v>
      </c>
      <c r="F295" s="39">
        <v>49</v>
      </c>
      <c r="G295" s="39">
        <v>70</v>
      </c>
      <c r="H295" s="39">
        <v>42</v>
      </c>
      <c r="I295" s="39">
        <v>33</v>
      </c>
      <c r="J295" s="40">
        <f>=SUM(D295:I295)</f>
        <v>369</v>
      </c>
      <c r="K295" s="17">
        <f>=J295-MIN(E295,F295)</f>
        <v>320</v>
      </c>
      <c r="L295" s="41">
        <f>=(2.04*D295+246.4)*(1.1*(G295+H295)+186)</f>
        <v>126648.32</v>
      </c>
      <c r="M295" s="42" t="s"/>
      <c r="N295" s="42" t="s">
        <v>61</v>
      </c>
      <c r="O295" s="38" t="s">
        <v>268</v>
      </c>
      <c r="P295" s="121" t="s"/>
      <c r="Q295" s="121" t="s"/>
      <c r="R295" s="121" t="s"/>
      <c r="S295" s="38" t="s">
        <v>1141</v>
      </c>
    </row>
    <row r="296" spans="1:19" ht="13.55" hidden="1" customHeight="1">
      <c r="A296" s="38" t="s">
        <v>1142</v>
      </c>
      <c r="B296" s="38" t="s">
        <v>1143</v>
      </c>
      <c r="C296" s="38" t="s">
        <v>276</v>
      </c>
      <c r="D296" s="39">
        <v>52</v>
      </c>
      <c r="E296" s="39">
        <v>60</v>
      </c>
      <c r="F296" s="39">
        <v>64</v>
      </c>
      <c r="G296" s="39">
        <v>68</v>
      </c>
      <c r="H296" s="39">
        <v>79</v>
      </c>
      <c r="I296" s="39">
        <v>57</v>
      </c>
      <c r="J296" s="40">
        <f>=SUM(D296:I296)</f>
        <v>380</v>
      </c>
      <c r="K296" s="17">
        <f>=J296-MIN(E296,F296)</f>
        <v>320</v>
      </c>
      <c r="L296" s="41">
        <f>=(2.04*D296+246.4)*(1.1*(G296+H296)+186)</f>
        <v>122557.296</v>
      </c>
      <c r="M296" s="42" t="s"/>
      <c r="N296" s="42" t="s">
        <v>61</v>
      </c>
      <c r="O296" s="38" t="s">
        <v>277</v>
      </c>
      <c r="P296" s="121" t="s"/>
      <c r="Q296" s="121" t="s"/>
      <c r="R296" s="121" t="s"/>
      <c r="S296" s="38" t="s">
        <v>1144</v>
      </c>
    </row>
    <row r="297" spans="1:19" ht="13.55" hidden="1" customHeight="1">
      <c r="A297" s="38" t="s">
        <v>1145</v>
      </c>
      <c r="B297" s="38" t="s">
        <v>1146</v>
      </c>
      <c r="C297" s="38" t="s">
        <v>144</v>
      </c>
      <c r="D297" s="39">
        <v>67</v>
      </c>
      <c r="E297" s="39">
        <v>66</v>
      </c>
      <c r="F297" s="39">
        <v>29</v>
      </c>
      <c r="G297" s="39">
        <v>72</v>
      </c>
      <c r="H297" s="39">
        <v>49</v>
      </c>
      <c r="I297" s="39">
        <v>66</v>
      </c>
      <c r="J297" s="40">
        <f>=SUM(D297:I297)</f>
        <v>349</v>
      </c>
      <c r="K297" s="17">
        <f>=J297-MIN(E297,F297)</f>
        <v>320</v>
      </c>
      <c r="L297" s="41">
        <f>=(2.04*D297+246.4)*(1.1*(G297+H297)+186)</f>
        <v>122240.828</v>
      </c>
      <c r="M297" s="76" t="s"/>
      <c r="N297" s="76" t="s">
        <v>61</v>
      </c>
      <c r="O297" s="38" t="s">
        <v>263</v>
      </c>
      <c r="P297" s="121" t="s"/>
      <c r="Q297" s="121" t="s"/>
      <c r="R297" s="121" t="s"/>
      <c r="S297" s="38" t="s">
        <v>1147</v>
      </c>
    </row>
    <row r="298" spans="1:19" ht="13.55" hidden="1" customHeight="1">
      <c r="A298" s="38" t="s">
        <v>1148</v>
      </c>
      <c r="B298" s="38" t="s">
        <v>1149</v>
      </c>
      <c r="C298" s="38" t="s">
        <v>85</v>
      </c>
      <c r="D298" s="39">
        <v>67</v>
      </c>
      <c r="E298" s="39">
        <v>75</v>
      </c>
      <c r="F298" s="39">
        <v>75</v>
      </c>
      <c r="G298" s="39">
        <v>48</v>
      </c>
      <c r="H298" s="39">
        <v>73</v>
      </c>
      <c r="I298" s="39">
        <v>57</v>
      </c>
      <c r="J298" s="40">
        <f>=SUM(D298:I298)</f>
        <v>395</v>
      </c>
      <c r="K298" s="17">
        <f>=J298-MIN(E298,F298)</f>
        <v>320</v>
      </c>
      <c r="L298" s="41">
        <f>=(2.04*D298+246.4)*(1.1*(G298+H298)+186)</f>
        <v>122240.828</v>
      </c>
      <c r="M298" s="42" t="s"/>
      <c r="N298" s="42" t="s">
        <v>61</v>
      </c>
      <c r="O298" s="38" t="s">
        <v>272</v>
      </c>
      <c r="P298" s="121" t="s"/>
      <c r="Q298" s="121" t="s"/>
      <c r="R298" s="121" t="s"/>
      <c r="S298" s="38" t="s">
        <v>1150</v>
      </c>
    </row>
    <row r="299" spans="1:19" ht="13.55" hidden="1" customHeight="1">
      <c r="A299" s="38" t="s">
        <v>1151</v>
      </c>
      <c r="B299" s="38" t="s">
        <v>1152</v>
      </c>
      <c r="C299" s="38" t="s">
        <v>120</v>
      </c>
      <c r="D299" s="39">
        <v>48</v>
      </c>
      <c r="E299" s="39">
        <v>70</v>
      </c>
      <c r="F299" s="39">
        <v>64</v>
      </c>
      <c r="G299" s="39">
        <v>68</v>
      </c>
      <c r="H299" s="39">
        <v>68</v>
      </c>
      <c r="I299" s="39">
        <v>66</v>
      </c>
      <c r="J299" s="40">
        <f>=SUM(D299:I299)</f>
        <v>384</v>
      </c>
      <c r="K299" s="17">
        <f>=J299-MIN(E299,F299)</f>
        <v>320</v>
      </c>
      <c r="L299" s="41">
        <f>=(2.04*D299+246.4)*(1.1*(G299+H299)+186)</f>
        <v>115553.792</v>
      </c>
      <c r="M299" s="76" t="s"/>
      <c r="N299" s="76" t="s">
        <v>61</v>
      </c>
      <c r="O299" s="38" t="s">
        <v>836</v>
      </c>
      <c r="P299" s="121" t="s"/>
      <c r="Q299" s="121" t="s"/>
      <c r="R299" s="121" t="s"/>
      <c r="S299" s="38" t="s">
        <v>1153</v>
      </c>
    </row>
    <row r="300" spans="1:19" ht="13.55" hidden="1" customHeight="1">
      <c r="A300" s="38" t="s">
        <v>1154</v>
      </c>
      <c r="B300" s="38" t="s">
        <v>1155</v>
      </c>
      <c r="C300" s="38" t="s">
        <v>26</v>
      </c>
      <c r="D300" s="39">
        <v>89</v>
      </c>
      <c r="E300" s="39">
        <v>61</v>
      </c>
      <c r="F300" s="39">
        <v>57</v>
      </c>
      <c r="G300" s="39">
        <v>70</v>
      </c>
      <c r="H300" s="39">
        <v>57</v>
      </c>
      <c r="I300" s="39">
        <v>42</v>
      </c>
      <c r="J300" s="40">
        <f>=SUM(D300:I300)</f>
        <v>376</v>
      </c>
      <c r="K300" s="17">
        <f>=J300-MIN(E300,F300)</f>
        <v>319</v>
      </c>
      <c r="L300" s="41">
        <f>=(2.04*D300+246.4)*(1.1*(G300+H300)+186)</f>
        <v>139386.572</v>
      </c>
      <c r="M300" s="76" t="s"/>
      <c r="N300" s="76" t="s">
        <v>61</v>
      </c>
      <c r="O300" s="38" t="s">
        <v>281</v>
      </c>
      <c r="P300" s="121" t="s"/>
      <c r="Q300" s="121" t="s"/>
      <c r="R300" s="121" t="s"/>
      <c r="S300" s="38" t="s">
        <v>1156</v>
      </c>
    </row>
    <row r="301" spans="1:19" ht="13.55" hidden="1" customHeight="1">
      <c r="A301" s="38" t="s">
        <v>1157</v>
      </c>
      <c r="B301" s="38" t="s">
        <v>1158</v>
      </c>
      <c r="C301" s="38" t="s">
        <v>308</v>
      </c>
      <c r="D301" s="39">
        <v>64</v>
      </c>
      <c r="E301" s="39">
        <v>73</v>
      </c>
      <c r="F301" s="39">
        <v>26</v>
      </c>
      <c r="G301" s="39">
        <v>82</v>
      </c>
      <c r="H301" s="39">
        <v>70</v>
      </c>
      <c r="I301" s="39">
        <v>30</v>
      </c>
      <c r="J301" s="40">
        <f>=SUM(D301:I301)</f>
        <v>345</v>
      </c>
      <c r="K301" s="17">
        <f>=J301-MIN(E301,F301)</f>
        <v>319</v>
      </c>
      <c r="L301" s="41">
        <f>=(2.04*D301+246.4)*(1.1*(G301+H301)+186)</f>
        <v>133142.272</v>
      </c>
      <c r="M301" s="42" t="s"/>
      <c r="N301" s="42" t="s">
        <v>61</v>
      </c>
      <c r="O301" s="38" t="s">
        <v>309</v>
      </c>
      <c r="P301" s="121" t="s"/>
      <c r="Q301" s="121" t="s"/>
      <c r="R301" s="121" t="s"/>
      <c r="S301" s="38" t="s">
        <v>1159</v>
      </c>
    </row>
    <row r="302" spans="1:19" ht="13.55" hidden="1" customHeight="1">
      <c r="A302" s="38" t="s">
        <v>1160</v>
      </c>
      <c r="B302" s="38" t="s">
        <v>1161</v>
      </c>
      <c r="C302" s="38" t="s">
        <v>41</v>
      </c>
      <c r="D302" s="39">
        <v>56</v>
      </c>
      <c r="E302" s="39">
        <v>67</v>
      </c>
      <c r="F302" s="39">
        <v>67</v>
      </c>
      <c r="G302" s="39">
        <v>63</v>
      </c>
      <c r="H302" s="39">
        <v>63</v>
      </c>
      <c r="I302" s="39">
        <v>69</v>
      </c>
      <c r="J302" s="40">
        <f>=SUM(D302:I302)</f>
        <v>385</v>
      </c>
      <c r="K302" s="17">
        <f>=J302-MIN(E302,F302)</f>
        <v>318</v>
      </c>
      <c r="L302" s="41">
        <f>=(2.04*D302+246.4)*(1.1*(G302+H302)+186)</f>
        <v>117063.744</v>
      </c>
      <c r="M302" s="79" t="s"/>
      <c r="N302" s="79" t="s">
        <v>61</v>
      </c>
      <c r="O302" s="38" t="s">
        <v>299</v>
      </c>
      <c r="P302" s="121" t="s"/>
      <c r="Q302" s="121" t="s"/>
      <c r="R302" s="121" t="s"/>
      <c r="S302" s="38" t="s">
        <v>1162</v>
      </c>
    </row>
    <row r="303" spans="1:19" ht="13.55" hidden="1" customHeight="1">
      <c r="A303" s="38" t="s">
        <v>1163</v>
      </c>
      <c r="B303" s="38" t="s">
        <v>1164</v>
      </c>
      <c r="C303" s="38" t="s">
        <v>36</v>
      </c>
      <c r="D303" s="39">
        <v>65</v>
      </c>
      <c r="E303" s="39">
        <v>79</v>
      </c>
      <c r="F303" s="39">
        <v>79</v>
      </c>
      <c r="G303" s="39">
        <v>55</v>
      </c>
      <c r="H303" s="39">
        <v>52</v>
      </c>
      <c r="I303" s="39">
        <v>66</v>
      </c>
      <c r="J303" s="40">
        <f>=SUM(D303:I303)</f>
        <v>396</v>
      </c>
      <c r="K303" s="17">
        <f>=J303-MIN(E303,F303)</f>
        <v>317</v>
      </c>
      <c r="L303" s="41">
        <f>=(2.04*D303+246.4)*(1.1*(G303+H303)+186)</f>
        <v>115102.3</v>
      </c>
      <c r="M303" s="76" t="s"/>
      <c r="N303" s="76" t="s">
        <v>61</v>
      </c>
      <c r="O303" s="38" t="s">
        <v>313</v>
      </c>
      <c r="P303" s="121" t="s"/>
      <c r="Q303" s="121" t="s"/>
      <c r="R303" s="121" t="s"/>
      <c r="S303" s="38" t="s">
        <v>1165</v>
      </c>
    </row>
    <row r="304" spans="1:19" ht="13.55" hidden="1" customHeight="1">
      <c r="A304" s="38" t="s">
        <v>1166</v>
      </c>
      <c r="B304" s="38" t="s">
        <v>1167</v>
      </c>
      <c r="C304" s="38" t="s">
        <v>341</v>
      </c>
      <c r="D304" s="39">
        <v>63</v>
      </c>
      <c r="E304" s="39">
        <v>66</v>
      </c>
      <c r="F304" s="39">
        <v>62</v>
      </c>
      <c r="G304" s="39">
        <v>62</v>
      </c>
      <c r="H304" s="39">
        <v>62</v>
      </c>
      <c r="I304" s="39">
        <v>63</v>
      </c>
      <c r="J304" s="40">
        <f>=SUM(D304:I304)</f>
        <v>378</v>
      </c>
      <c r="K304" s="17">
        <f>=J304-MIN(E304,F304)</f>
        <v>316</v>
      </c>
      <c r="L304" s="41">
        <f>=(2.04*D304+246.4)*(1.1*(G304+H304)+186)</f>
        <v>120874.208</v>
      </c>
      <c r="M304" s="76" t="s"/>
      <c r="N304" s="76" t="s">
        <v>61</v>
      </c>
      <c r="O304" s="38" t="s">
        <v>342</v>
      </c>
      <c r="P304" s="121" t="s"/>
      <c r="Q304" s="121" t="s"/>
      <c r="R304" s="121" t="s"/>
      <c r="S304" s="38" t="s">
        <v>1168</v>
      </c>
    </row>
    <row r="305" spans="1:19" ht="13.55" hidden="1" customHeight="1">
      <c r="A305" s="38" t="s">
        <v>1169</v>
      </c>
      <c r="B305" s="38" t="s">
        <v>1170</v>
      </c>
      <c r="C305" s="38" t="s">
        <v>144</v>
      </c>
      <c r="D305" s="39">
        <v>67</v>
      </c>
      <c r="E305" s="39">
        <v>59</v>
      </c>
      <c r="F305" s="39">
        <v>59</v>
      </c>
      <c r="G305" s="39">
        <v>62</v>
      </c>
      <c r="H305" s="39">
        <v>82</v>
      </c>
      <c r="I305" s="39">
        <v>45</v>
      </c>
      <c r="J305" s="40">
        <f>=SUM(D305:I305)</f>
        <v>374</v>
      </c>
      <c r="K305" s="17">
        <f>=J305-MIN(E305,F305)</f>
        <v>315</v>
      </c>
      <c r="L305" s="41">
        <f>=(2.04*D305+246.4)*(1.1*(G305+H305)+186)</f>
        <v>131932.752</v>
      </c>
      <c r="M305" s="42" t="s"/>
      <c r="N305" s="42" t="s">
        <v>61</v>
      </c>
      <c r="O305" s="38" t="s">
        <v>356</v>
      </c>
      <c r="P305" s="121" t="s"/>
      <c r="Q305" s="121" t="s"/>
      <c r="R305" s="121" t="s"/>
      <c r="S305" s="38" t="s">
        <v>1171</v>
      </c>
    </row>
    <row r="306" spans="1:19" ht="13.55" hidden="1" customHeight="1">
      <c r="A306" s="38" t="s">
        <v>1172</v>
      </c>
      <c r="B306" s="38" t="s">
        <v>1173</v>
      </c>
      <c r="C306" s="38" t="s">
        <v>360</v>
      </c>
      <c r="D306" s="39">
        <v>67</v>
      </c>
      <c r="E306" s="39">
        <v>69</v>
      </c>
      <c r="F306" s="39">
        <v>69</v>
      </c>
      <c r="G306" s="39">
        <v>73</v>
      </c>
      <c r="H306" s="39">
        <v>57</v>
      </c>
      <c r="I306" s="39">
        <v>48</v>
      </c>
      <c r="J306" s="40">
        <f>=SUM(D306:I306)</f>
        <v>383</v>
      </c>
      <c r="K306" s="17">
        <f>=J306-MIN(E306,F306)</f>
        <v>314</v>
      </c>
      <c r="L306" s="41">
        <f>=(2.04*D306+246.4)*(1.1*(G306+H306)+186)</f>
        <v>126033.32</v>
      </c>
      <c r="M306" s="76" t="s"/>
      <c r="N306" s="76" t="s">
        <v>61</v>
      </c>
      <c r="O306" s="38" t="s">
        <v>361</v>
      </c>
      <c r="P306" s="121" t="s"/>
      <c r="Q306" s="121" t="s"/>
      <c r="R306" s="121" t="s"/>
      <c r="S306" s="38" t="s">
        <v>1174</v>
      </c>
    </row>
    <row r="307" spans="1:19" ht="13.55" hidden="1" customHeight="1">
      <c r="A307" s="38" t="s">
        <v>1175</v>
      </c>
      <c r="B307" s="38" t="s">
        <v>1176</v>
      </c>
      <c r="C307" s="38" t="s">
        <v>85</v>
      </c>
      <c r="D307" s="39">
        <v>95</v>
      </c>
      <c r="E307" s="39">
        <v>56</v>
      </c>
      <c r="F307" s="39">
        <v>25</v>
      </c>
      <c r="G307" s="39">
        <v>70</v>
      </c>
      <c r="H307" s="39">
        <v>41</v>
      </c>
      <c r="I307" s="39">
        <v>51</v>
      </c>
      <c r="J307" s="40">
        <f>=SUM(D307:I307)</f>
        <v>338</v>
      </c>
      <c r="K307" s="17">
        <f>=J307-MIN(E307,F307)</f>
        <v>313</v>
      </c>
      <c r="L307" s="41">
        <f>=(2.04*D307+246.4)*(1.1*(G307+H307)+186)</f>
        <v>135625.62</v>
      </c>
      <c r="M307" s="76" t="s"/>
      <c r="N307" s="76" t="s">
        <v>61</v>
      </c>
      <c r="O307" s="38" t="s">
        <v>377</v>
      </c>
      <c r="P307" s="121" t="s"/>
      <c r="Q307" s="121" t="s"/>
      <c r="R307" s="121" t="s"/>
      <c r="S307" s="38" t="s">
        <v>1177</v>
      </c>
    </row>
    <row r="308" spans="1:19" ht="13.55" hidden="1" customHeight="1">
      <c r="A308" s="38" t="s">
        <v>1178</v>
      </c>
      <c r="B308" s="38" t="s">
        <v>1179</v>
      </c>
      <c r="C308" s="38" t="s">
        <v>46</v>
      </c>
      <c r="D308" s="39">
        <v>64</v>
      </c>
      <c r="E308" s="39">
        <v>95</v>
      </c>
      <c r="F308" s="39">
        <v>47</v>
      </c>
      <c r="G308" s="39">
        <v>67</v>
      </c>
      <c r="H308" s="39">
        <v>42</v>
      </c>
      <c r="I308" s="39">
        <v>45</v>
      </c>
      <c r="J308" s="40">
        <f>=SUM(D308:I308)</f>
        <v>360</v>
      </c>
      <c r="K308" s="17">
        <f>=J308-MIN(E308,F308)</f>
        <v>313</v>
      </c>
      <c r="L308" s="41">
        <f>=(2.04*D308+246.4)*(1.1*(G308+H308)+186)</f>
        <v>115312.064</v>
      </c>
      <c r="M308" s="76" t="s"/>
      <c r="N308" s="76" t="s">
        <v>61</v>
      </c>
      <c r="O308" s="38" t="s">
        <v>366</v>
      </c>
      <c r="P308" s="121" t="s"/>
      <c r="Q308" s="121" t="s"/>
      <c r="R308" s="121" t="s"/>
      <c r="S308" s="38" t="s">
        <v>1180</v>
      </c>
    </row>
    <row r="309" spans="1:19" ht="13.55" hidden="1" customHeight="1">
      <c r="A309" s="38" t="s">
        <v>1181</v>
      </c>
      <c r="B309" s="38" t="s">
        <v>1182</v>
      </c>
      <c r="C309" s="38" t="s">
        <v>386</v>
      </c>
      <c r="D309" s="39">
        <v>64</v>
      </c>
      <c r="E309" s="39">
        <v>54</v>
      </c>
      <c r="F309" s="39">
        <v>57</v>
      </c>
      <c r="G309" s="39">
        <v>69</v>
      </c>
      <c r="H309" s="39">
        <v>71</v>
      </c>
      <c r="I309" s="39">
        <v>51</v>
      </c>
      <c r="J309" s="40">
        <f>=SUM(D309:I309)</f>
        <v>366</v>
      </c>
      <c r="K309" s="17">
        <f>=J309-MIN(E309,F309)</f>
        <v>312</v>
      </c>
      <c r="L309" s="41">
        <f>=(2.04*D309+246.4)*(1.1*(G309+H309)+186)</f>
        <v>128166.4</v>
      </c>
      <c r="M309" s="76" t="s"/>
      <c r="N309" s="76" t="s">
        <v>61</v>
      </c>
      <c r="O309" s="38" t="s">
        <v>387</v>
      </c>
      <c r="P309" s="121" t="s"/>
      <c r="Q309" s="121" t="s"/>
      <c r="R309" s="121" t="s"/>
      <c r="S309" s="38" t="s">
        <v>1183</v>
      </c>
    </row>
    <row r="310" spans="1:19" ht="13.55" hidden="1" customHeight="1">
      <c r="A310" s="38" t="s">
        <v>1184</v>
      </c>
      <c r="B310" s="38" t="s">
        <v>1185</v>
      </c>
      <c r="C310" s="38" t="s">
        <v>381</v>
      </c>
      <c r="D310" s="39">
        <v>58</v>
      </c>
      <c r="E310" s="39">
        <v>68</v>
      </c>
      <c r="F310" s="39">
        <v>66</v>
      </c>
      <c r="G310" s="39">
        <v>61</v>
      </c>
      <c r="H310" s="39">
        <v>53</v>
      </c>
      <c r="I310" s="39">
        <v>72</v>
      </c>
      <c r="J310" s="40">
        <f>=SUM(D310:I310)</f>
        <v>378</v>
      </c>
      <c r="K310" s="17">
        <f>=J310-MIN(E310,F310)</f>
        <v>312</v>
      </c>
      <c r="L310" s="41">
        <f>=(2.04*D310+246.4)*(1.1*(G310+H310)+186)</f>
        <v>113573.808</v>
      </c>
      <c r="M310" s="42" t="s"/>
      <c r="N310" s="42" t="s">
        <v>61</v>
      </c>
      <c r="O310" s="38" t="s">
        <v>382</v>
      </c>
      <c r="P310" s="121" t="s"/>
      <c r="Q310" s="121" t="s"/>
      <c r="R310" s="121" t="s"/>
      <c r="S310" s="38" t="s">
        <v>1186</v>
      </c>
    </row>
    <row r="311" spans="1:19" ht="13.55" hidden="1" customHeight="1">
      <c r="A311" s="38" t="s">
        <v>1187</v>
      </c>
      <c r="B311" s="38" t="s">
        <v>1188</v>
      </c>
      <c r="C311" s="38" t="s">
        <v>395</v>
      </c>
      <c r="D311" s="39">
        <v>78</v>
      </c>
      <c r="E311" s="39">
        <v>62</v>
      </c>
      <c r="F311" s="39">
        <v>59</v>
      </c>
      <c r="G311" s="39">
        <v>39</v>
      </c>
      <c r="H311" s="39">
        <v>78</v>
      </c>
      <c r="I311" s="39">
        <v>54</v>
      </c>
      <c r="J311" s="40">
        <f>=SUM(D311:I311)</f>
        <v>370</v>
      </c>
      <c r="K311" s="17">
        <f>=J311-MIN(E311,F311)</f>
        <v>311</v>
      </c>
      <c r="L311" s="41">
        <f>=(2.04*D311+246.4)*(1.1*(G311+H311)+186)</f>
        <v>127617.144</v>
      </c>
      <c r="M311" s="76" t="s"/>
      <c r="N311" s="76" t="s">
        <v>61</v>
      </c>
      <c r="O311" s="38" t="s">
        <v>892</v>
      </c>
      <c r="P311" s="121" t="s"/>
      <c r="Q311" s="121" t="s"/>
      <c r="R311" s="121" t="s"/>
      <c r="S311" s="38" t="s">
        <v>1189</v>
      </c>
    </row>
    <row r="312" spans="1:19" ht="13.55" hidden="1" customHeight="1">
      <c r="A312" s="38" t="s">
        <v>1190</v>
      </c>
      <c r="B312" s="38" t="s">
        <v>1191</v>
      </c>
      <c r="C312" s="38" t="s">
        <v>80</v>
      </c>
      <c r="D312" s="39">
        <v>60</v>
      </c>
      <c r="E312" s="39">
        <v>69</v>
      </c>
      <c r="F312" s="39">
        <v>63</v>
      </c>
      <c r="G312" s="39">
        <v>62</v>
      </c>
      <c r="H312" s="39">
        <v>51</v>
      </c>
      <c r="I312" s="39">
        <v>69</v>
      </c>
      <c r="J312" s="40">
        <f>=SUM(D312:I312)</f>
        <v>374</v>
      </c>
      <c r="K312" s="17">
        <f>=J312-MIN(E312,F312)</f>
        <v>311</v>
      </c>
      <c r="L312" s="41">
        <f>=(2.04*D312+246.4)*(1.1*(G312+H312)+186)</f>
        <v>114438.64</v>
      </c>
      <c r="M312" s="76" t="s"/>
      <c r="N312" s="76" t="s">
        <v>61</v>
      </c>
      <c r="O312" s="38" t="s">
        <v>400</v>
      </c>
      <c r="P312" s="121" t="s"/>
      <c r="Q312" s="121" t="s"/>
      <c r="R312" s="121" t="s"/>
      <c r="S312" s="38" t="s">
        <v>1192</v>
      </c>
    </row>
    <row r="313" spans="1:19" ht="13.55" hidden="1" customHeight="1">
      <c r="A313" s="38" t="s">
        <v>1193</v>
      </c>
      <c r="B313" s="38" t="s">
        <v>1194</v>
      </c>
      <c r="C313" s="38" t="s">
        <v>404</v>
      </c>
      <c r="D313" s="39">
        <v>56</v>
      </c>
      <c r="E313" s="39">
        <v>15</v>
      </c>
      <c r="F313" s="39">
        <v>65</v>
      </c>
      <c r="G313" s="39">
        <v>63</v>
      </c>
      <c r="H313" s="39">
        <v>55</v>
      </c>
      <c r="I313" s="39">
        <v>72</v>
      </c>
      <c r="J313" s="40">
        <f>=SUM(D313:I313)</f>
        <v>326</v>
      </c>
      <c r="K313" s="17">
        <f>=J313-MIN(E313,F313)</f>
        <v>311</v>
      </c>
      <c r="L313" s="41">
        <f>=(2.04*D313+246.4)*(1.1*(G313+H313)+186)</f>
        <v>113890.112</v>
      </c>
      <c r="M313" s="42" t="s"/>
      <c r="N313" s="42" t="s">
        <v>61</v>
      </c>
      <c r="O313" s="38" t="s">
        <v>405</v>
      </c>
      <c r="P313" s="121" t="s"/>
      <c r="Q313" s="121" t="s"/>
      <c r="R313" s="121" t="s"/>
      <c r="S313" s="38" t="s">
        <v>1195</v>
      </c>
    </row>
    <row r="314" spans="1:19" ht="13.55" hidden="1" customHeight="1">
      <c r="A314" s="38" t="s">
        <v>1196</v>
      </c>
      <c r="B314" s="38" t="s">
        <v>1197</v>
      </c>
      <c r="C314" s="38" t="s">
        <v>418</v>
      </c>
      <c r="D314" s="39">
        <v>52</v>
      </c>
      <c r="E314" s="39">
        <v>68</v>
      </c>
      <c r="F314" s="39">
        <v>20</v>
      </c>
      <c r="G314" s="39">
        <v>56</v>
      </c>
      <c r="H314" s="39">
        <v>53</v>
      </c>
      <c r="I314" s="39">
        <v>81</v>
      </c>
      <c r="J314" s="40">
        <f>=SUM(D314:I314)</f>
        <v>330</v>
      </c>
      <c r="K314" s="17">
        <f>=J314-MIN(E314,F314)</f>
        <v>310</v>
      </c>
      <c r="L314" s="41">
        <f>=(2.04*D314+246.4)*(1.1*(G314+H314)+186)</f>
        <v>107823.632</v>
      </c>
      <c r="M314" s="76" t="s"/>
      <c r="N314" s="76" t="s">
        <v>61</v>
      </c>
      <c r="O314" s="38" t="s">
        <v>419</v>
      </c>
      <c r="P314" s="121" t="s"/>
      <c r="Q314" s="121" t="s"/>
      <c r="R314" s="121" t="s"/>
      <c r="S314" s="38" t="s">
        <v>1198</v>
      </c>
    </row>
    <row r="315" spans="1:19" ht="13.55" hidden="1" customHeight="1">
      <c r="A315" s="38" t="s">
        <v>1199</v>
      </c>
      <c r="B315" s="38" t="s">
        <v>1200</v>
      </c>
      <c r="C315" s="38" t="s">
        <v>409</v>
      </c>
      <c r="D315" s="39">
        <v>68</v>
      </c>
      <c r="E315" s="39">
        <v>61</v>
      </c>
      <c r="F315" s="39">
        <v>64</v>
      </c>
      <c r="G315" s="39">
        <v>49</v>
      </c>
      <c r="H315" s="39">
        <v>74</v>
      </c>
      <c r="I315" s="39">
        <v>54</v>
      </c>
      <c r="J315" s="40">
        <f>=SUM(D315:I315)</f>
        <v>370</v>
      </c>
      <c r="K315" s="17">
        <f>=J315-MIN(E315,F315)</f>
        <v>309</v>
      </c>
      <c r="L315" s="41">
        <f>=(2.04*D315+246.4)*(1.1*(G315+H315)+186)</f>
        <v>123739.056</v>
      </c>
      <c r="M315" s="76" t="s"/>
      <c r="N315" s="76" t="s">
        <v>61</v>
      </c>
      <c r="O315" s="38" t="s">
        <v>410</v>
      </c>
      <c r="P315" s="121" t="s"/>
      <c r="Q315" s="121" t="s"/>
      <c r="R315" s="121" t="s"/>
      <c r="S315" s="38" t="s">
        <v>1201</v>
      </c>
    </row>
    <row r="316" spans="1:19" ht="13.55" hidden="1" customHeight="1">
      <c r="A316" s="38" t="s">
        <v>1202</v>
      </c>
      <c r="B316" s="38" t="s">
        <v>1203</v>
      </c>
      <c r="C316" s="38" t="s">
        <v>65</v>
      </c>
      <c r="D316" s="39">
        <v>54</v>
      </c>
      <c r="E316" s="39">
        <v>77</v>
      </c>
      <c r="F316" s="39">
        <v>33</v>
      </c>
      <c r="G316" s="39">
        <v>65</v>
      </c>
      <c r="H316" s="39">
        <v>44</v>
      </c>
      <c r="I316" s="39">
        <v>69</v>
      </c>
      <c r="J316" s="40">
        <f>=SUM(D316:I316)</f>
        <v>342</v>
      </c>
      <c r="K316" s="17">
        <f>=J316-MIN(E316,F316)</f>
        <v>309</v>
      </c>
      <c r="L316" s="41">
        <f>=(2.04*D316+246.4)*(1.1*(G316+H316)+186)</f>
        <v>109071.704</v>
      </c>
      <c r="M316" s="76" t="s"/>
      <c r="N316" s="76" t="s">
        <v>61</v>
      </c>
      <c r="O316" s="38" t="s">
        <v>435</v>
      </c>
      <c r="P316" s="121" t="s"/>
      <c r="Q316" s="121" t="s"/>
      <c r="R316" s="121" t="s"/>
      <c r="S316" s="38" t="s">
        <v>1204</v>
      </c>
    </row>
    <row r="317" spans="1:19" ht="13.55" hidden="1" customHeight="1">
      <c r="A317" s="38" t="s">
        <v>1205</v>
      </c>
      <c r="B317" s="38" t="s">
        <v>1206</v>
      </c>
      <c r="C317" s="38" t="s">
        <v>46</v>
      </c>
      <c r="D317" s="39">
        <v>66</v>
      </c>
      <c r="E317" s="39">
        <v>71</v>
      </c>
      <c r="F317" s="39">
        <v>31</v>
      </c>
      <c r="G317" s="39">
        <v>61</v>
      </c>
      <c r="H317" s="39">
        <v>42</v>
      </c>
      <c r="I317" s="39">
        <v>66</v>
      </c>
      <c r="J317" s="40">
        <f>=SUM(D317:I317)</f>
        <v>337</v>
      </c>
      <c r="K317" s="17">
        <f>=J317-MIN(E317,F317)</f>
        <v>306</v>
      </c>
      <c r="L317" s="41">
        <f>=(2.04*D317+246.4)*(1.1*(G317+H317)+186)</f>
        <v>114045.272</v>
      </c>
      <c r="M317" s="76" t="s"/>
      <c r="N317" s="76" t="s">
        <v>61</v>
      </c>
      <c r="O317" s="38" t="s">
        <v>452</v>
      </c>
      <c r="P317" s="121" t="s"/>
      <c r="Q317" s="121" t="s"/>
      <c r="R317" s="121" t="s"/>
      <c r="S317" s="38" t="s">
        <v>1207</v>
      </c>
    </row>
    <row r="318" spans="1:19" ht="13.55" hidden="1" customHeight="1">
      <c r="A318" s="38" t="s">
        <v>1208</v>
      </c>
      <c r="B318" s="38" t="s">
        <v>1209</v>
      </c>
      <c r="C318" s="38" t="s">
        <v>221</v>
      </c>
      <c r="D318" s="39">
        <v>71</v>
      </c>
      <c r="E318" s="39">
        <v>25</v>
      </c>
      <c r="F318" s="39">
        <v>59</v>
      </c>
      <c r="G318" s="39">
        <v>46</v>
      </c>
      <c r="H318" s="39">
        <v>66</v>
      </c>
      <c r="I318" s="39">
        <v>60</v>
      </c>
      <c r="J318" s="40">
        <f>=SUM(D318:I318)</f>
        <v>327</v>
      </c>
      <c r="K318" s="17">
        <f>=J318-MIN(E318,F318)</f>
        <v>302</v>
      </c>
      <c r="L318" s="41">
        <f>=(2.04*D318+246.4)*(1.1*(G318+H318)+186)</f>
        <v>120971.408</v>
      </c>
      <c r="M318" s="76" t="s"/>
      <c r="N318" s="76" t="s">
        <v>61</v>
      </c>
      <c r="O318" s="38" t="s">
        <v>485</v>
      </c>
      <c r="P318" s="121" t="s"/>
      <c r="Q318" s="121" t="s"/>
      <c r="R318" s="121" t="s"/>
      <c r="S318" s="38" t="s">
        <v>1210</v>
      </c>
    </row>
    <row r="319" spans="1:19" ht="13.55" hidden="1" customHeight="1">
      <c r="A319" s="38" t="s">
        <v>1211</v>
      </c>
      <c r="B319" s="38" t="s">
        <v>1212</v>
      </c>
      <c r="C319" s="38" t="s">
        <v>489</v>
      </c>
      <c r="D319" s="39">
        <v>47</v>
      </c>
      <c r="E319" s="39">
        <v>53</v>
      </c>
      <c r="F319" s="39">
        <v>53</v>
      </c>
      <c r="G319" s="39">
        <v>82</v>
      </c>
      <c r="H319" s="39">
        <v>66</v>
      </c>
      <c r="I319" s="39">
        <v>54</v>
      </c>
      <c r="J319" s="40">
        <f>=SUM(D319:I319)</f>
        <v>355</v>
      </c>
      <c r="K319" s="17">
        <f>=J319-MIN(E319,F319)</f>
        <v>302</v>
      </c>
      <c r="L319" s="41">
        <f>=(2.04*D319+246.4)*(1.1*(G319+H319)+186)</f>
        <v>119387.264</v>
      </c>
      <c r="M319" s="42" t="s"/>
      <c r="N319" s="42" t="s">
        <v>61</v>
      </c>
      <c r="O319" s="38" t="s">
        <v>490</v>
      </c>
      <c r="P319" s="121" t="s"/>
      <c r="Q319" s="121" t="s"/>
      <c r="R319" s="121" t="s"/>
      <c r="S319" s="38" t="s">
        <v>1213</v>
      </c>
    </row>
    <row r="320" spans="1:19" ht="13.55" hidden="1" customHeight="1">
      <c r="A320" s="38" t="s">
        <v>1214</v>
      </c>
      <c r="B320" s="38" t="s">
        <v>1215</v>
      </c>
      <c r="C320" s="38" t="s">
        <v>498</v>
      </c>
      <c r="D320" s="39">
        <v>54</v>
      </c>
      <c r="E320" s="39">
        <v>46</v>
      </c>
      <c r="F320" s="39">
        <v>46</v>
      </c>
      <c r="G320" s="39">
        <v>63</v>
      </c>
      <c r="H320" s="39">
        <v>63</v>
      </c>
      <c r="I320" s="39">
        <v>75</v>
      </c>
      <c r="J320" s="40">
        <f>=SUM(D320:I320)</f>
        <v>347</v>
      </c>
      <c r="K320" s="17">
        <f>=J320-MIN(E320,F320)</f>
        <v>301</v>
      </c>
      <c r="L320" s="41">
        <f>=(2.04*D320+246.4)*(1.1*(G320+H320)+186)</f>
        <v>115739.376</v>
      </c>
      <c r="M320" s="42" t="s"/>
      <c r="N320" s="42" t="s">
        <v>61</v>
      </c>
      <c r="O320" s="38" t="s">
        <v>499</v>
      </c>
      <c r="P320" s="121" t="s"/>
      <c r="Q320" s="121" t="s"/>
      <c r="R320" s="121" t="s"/>
      <c r="S320" s="38" t="s">
        <v>1216</v>
      </c>
    </row>
    <row r="321" spans="1:19" ht="13.55" hidden="1" customHeight="1">
      <c r="A321" s="38" t="s">
        <v>1217</v>
      </c>
      <c r="B321" s="38" t="s">
        <v>1218</v>
      </c>
      <c r="C321" s="38" t="s">
        <v>41</v>
      </c>
      <c r="D321" s="39">
        <v>72</v>
      </c>
      <c r="E321" s="39">
        <v>67</v>
      </c>
      <c r="F321" s="39">
        <v>72</v>
      </c>
      <c r="G321" s="39">
        <v>42</v>
      </c>
      <c r="H321" s="39">
        <v>55</v>
      </c>
      <c r="I321" s="39">
        <v>60</v>
      </c>
      <c r="J321" s="40">
        <f>=SUM(D321:I321)</f>
        <v>368</v>
      </c>
      <c r="K321" s="17">
        <f>=J321-MIN(E321,F321)</f>
        <v>301</v>
      </c>
      <c r="L321" s="41">
        <f>=(2.04*D321+246.4)*(1.1*(G321+H321)+186)</f>
        <v>115113.056</v>
      </c>
      <c r="M321" s="76" t="s"/>
      <c r="N321" s="76" t="s">
        <v>61</v>
      </c>
      <c r="O321" s="38" t="s">
        <v>508</v>
      </c>
      <c r="P321" s="121" t="s"/>
      <c r="Q321" s="121" t="s"/>
      <c r="R321" s="121" t="s"/>
      <c r="S321" s="38" t="s">
        <v>1219</v>
      </c>
    </row>
    <row r="322" spans="1:19" ht="13.55" hidden="1" customHeight="1">
      <c r="A322" s="38" t="s">
        <v>1220</v>
      </c>
      <c r="B322" s="38" t="s">
        <v>1221</v>
      </c>
      <c r="C322" s="38" t="s">
        <v>521</v>
      </c>
      <c r="D322" s="39">
        <v>58</v>
      </c>
      <c r="E322" s="39">
        <v>42</v>
      </c>
      <c r="F322" s="39">
        <v>44</v>
      </c>
      <c r="G322" s="39">
        <v>49</v>
      </c>
      <c r="H322" s="39">
        <v>80</v>
      </c>
      <c r="I322" s="39">
        <v>69</v>
      </c>
      <c r="J322" s="40">
        <f>=SUM(D322:I322)</f>
        <v>342</v>
      </c>
      <c r="K322" s="17">
        <f>=J322-MIN(E322,F322)</f>
        <v>300</v>
      </c>
      <c r="L322" s="41">
        <f>=(2.04*D322+246.4)*(1.1*(G322+H322)+186)</f>
        <v>119591.688</v>
      </c>
      <c r="M322" s="42" t="s"/>
      <c r="N322" s="42" t="s">
        <v>61</v>
      </c>
      <c r="O322" s="38" t="s">
        <v>522</v>
      </c>
      <c r="P322" s="121" t="s"/>
      <c r="Q322" s="121" t="s"/>
      <c r="R322" s="121" t="s"/>
      <c r="S322" s="38" t="s">
        <v>1222</v>
      </c>
    </row>
    <row r="323" spans="1:19" ht="13.55" hidden="1" customHeight="1">
      <c r="A323" s="38" t="s">
        <v>1223</v>
      </c>
      <c r="B323" s="38" t="s">
        <v>1224</v>
      </c>
      <c r="C323" s="38" t="s">
        <v>65</v>
      </c>
      <c r="D323" s="39">
        <v>61</v>
      </c>
      <c r="E323" s="39">
        <v>69</v>
      </c>
      <c r="F323" s="39">
        <v>39</v>
      </c>
      <c r="G323" s="39">
        <v>64</v>
      </c>
      <c r="H323" s="39">
        <v>33</v>
      </c>
      <c r="I323" s="39">
        <v>72</v>
      </c>
      <c r="J323" s="40">
        <f>=SUM(D323:I323)</f>
        <v>338</v>
      </c>
      <c r="K323" s="17">
        <f>=J323-MIN(E323,F323)</f>
        <v>299</v>
      </c>
      <c r="L323" s="41">
        <f>=(2.04*D323+246.4)*(1.1*(G323+H323)+186)</f>
        <v>108544.868</v>
      </c>
      <c r="M323" s="76" t="s"/>
      <c r="N323" s="76" t="s">
        <v>61</v>
      </c>
      <c r="O323" s="38" t="s">
        <v>512</v>
      </c>
      <c r="P323" s="121" t="s"/>
      <c r="Q323" s="121" t="s"/>
      <c r="R323" s="121" t="s"/>
      <c r="S323" s="38" t="s">
        <v>1225</v>
      </c>
    </row>
    <row r="324" spans="1:19" ht="13.55" hidden="1" customHeight="1">
      <c r="A324" s="38" t="s">
        <v>1226</v>
      </c>
      <c r="B324" s="38" t="s">
        <v>1227</v>
      </c>
      <c r="C324" s="38" t="s">
        <v>516</v>
      </c>
      <c r="D324" s="39">
        <v>73</v>
      </c>
      <c r="E324" s="39">
        <v>57</v>
      </c>
      <c r="F324" s="39">
        <v>57</v>
      </c>
      <c r="G324" s="39">
        <v>60</v>
      </c>
      <c r="H324" s="39">
        <v>60</v>
      </c>
      <c r="I324" s="39">
        <v>48</v>
      </c>
      <c r="J324" s="40">
        <f>=SUM(D324:I324)</f>
        <v>355</v>
      </c>
      <c r="K324" s="17">
        <f>=J324-MIN(E324,F324)</f>
        <v>298</v>
      </c>
      <c r="L324" s="41">
        <f>=(2.04*D324+246.4)*(1.1*(G324+H324)+186)</f>
        <v>125711.76</v>
      </c>
      <c r="M324" s="76" t="s"/>
      <c r="N324" s="76" t="s">
        <v>61</v>
      </c>
      <c r="O324" s="38" t="s">
        <v>517</v>
      </c>
      <c r="P324" s="121" t="s"/>
      <c r="Q324" s="121" t="s"/>
      <c r="R324" s="121" t="s"/>
      <c r="S324" s="38" t="s">
        <v>1228</v>
      </c>
    </row>
    <row r="325" spans="1:19" ht="13.55" hidden="1" customHeight="1">
      <c r="A325" s="38" t="s">
        <v>1229</v>
      </c>
      <c r="B325" s="38" t="s">
        <v>1230</v>
      </c>
      <c r="C325" s="38" t="s">
        <v>427</v>
      </c>
      <c r="D325" s="39">
        <v>55</v>
      </c>
      <c r="E325" s="39">
        <v>59</v>
      </c>
      <c r="F325" s="39">
        <v>20</v>
      </c>
      <c r="G325" s="39">
        <v>65</v>
      </c>
      <c r="H325" s="39">
        <v>47</v>
      </c>
      <c r="I325" s="39">
        <v>72</v>
      </c>
      <c r="J325" s="40">
        <f>=SUM(D325:I325)</f>
        <v>318</v>
      </c>
      <c r="K325" s="17">
        <f>=J325-MIN(E325,F325)</f>
        <v>298</v>
      </c>
      <c r="L325" s="41">
        <f>=(2.04*D325+246.4)*(1.1*(G325+H325)+186)</f>
        <v>110879.12</v>
      </c>
      <c r="M325" s="42" t="s"/>
      <c r="N325" s="42" t="s">
        <v>61</v>
      </c>
      <c r="O325" s="38" t="s">
        <v>526</v>
      </c>
      <c r="P325" s="121" t="s"/>
      <c r="Q325" s="121" t="s"/>
      <c r="R325" s="121" t="s"/>
      <c r="S325" s="38" t="s">
        <v>1231</v>
      </c>
    </row>
    <row r="326" spans="1:19" ht="13.55" hidden="1" customHeight="1">
      <c r="A326" s="38" t="s">
        <v>1232</v>
      </c>
      <c r="B326" s="38" t="s">
        <v>1233</v>
      </c>
      <c r="C326" s="38" t="s">
        <v>130</v>
      </c>
      <c r="D326" s="39">
        <v>49</v>
      </c>
      <c r="E326" s="39">
        <v>21</v>
      </c>
      <c r="F326" s="39">
        <v>63</v>
      </c>
      <c r="G326" s="39">
        <v>48</v>
      </c>
      <c r="H326" s="39">
        <v>63</v>
      </c>
      <c r="I326" s="39">
        <v>75</v>
      </c>
      <c r="J326" s="40">
        <f>=SUM(D326:I326)</f>
        <v>319</v>
      </c>
      <c r="K326" s="17">
        <f>=J326-MIN(E326,F326)</f>
        <v>298</v>
      </c>
      <c r="L326" s="41">
        <f>=(2.04*D326+246.4)*(1.1*(G326+H326)+186)</f>
        <v>106713.516</v>
      </c>
      <c r="M326" s="76" t="s"/>
      <c r="N326" s="76" t="s">
        <v>61</v>
      </c>
      <c r="O326" s="38" t="s">
        <v>536</v>
      </c>
      <c r="P326" s="121" t="s"/>
      <c r="Q326" s="121" t="s"/>
      <c r="R326" s="121" t="s"/>
      <c r="S326" s="38" t="s">
        <v>1234</v>
      </c>
    </row>
    <row r="327" spans="1:19" ht="13.55" hidden="1" customHeight="1">
      <c r="A327" s="38" t="s">
        <v>1235</v>
      </c>
      <c r="B327" s="38" t="s">
        <v>1236</v>
      </c>
      <c r="C327" s="38" t="s">
        <v>543</v>
      </c>
      <c r="D327" s="39">
        <v>69</v>
      </c>
      <c r="E327" s="39">
        <v>52</v>
      </c>
      <c r="F327" s="39">
        <v>52</v>
      </c>
      <c r="G327" s="39">
        <v>50</v>
      </c>
      <c r="H327" s="39">
        <v>64</v>
      </c>
      <c r="I327" s="39">
        <v>60</v>
      </c>
      <c r="J327" s="40">
        <f>=SUM(D327:I327)</f>
        <v>347</v>
      </c>
      <c r="K327" s="17">
        <f>=J327-MIN(E327,F327)</f>
        <v>295</v>
      </c>
      <c r="L327" s="41">
        <f>=(2.04*D327+246.4)*(1.1*(G327+H327)+186)</f>
        <v>120561.624</v>
      </c>
      <c r="M327" s="76" t="s"/>
      <c r="N327" s="76" t="s">
        <v>61</v>
      </c>
      <c r="O327" s="38" t="s">
        <v>544</v>
      </c>
      <c r="P327" s="121" t="s"/>
      <c r="Q327" s="121" t="s"/>
      <c r="R327" s="121" t="s"/>
      <c r="S327" s="38" t="s">
        <v>1237</v>
      </c>
    </row>
    <row r="328" spans="1:19" ht="13.55" hidden="1" customHeight="1">
      <c r="A328" s="38" t="s">
        <v>1238</v>
      </c>
      <c r="B328" s="38" t="s">
        <v>1239</v>
      </c>
      <c r="C328" s="38" t="s">
        <v>46</v>
      </c>
      <c r="D328" s="39">
        <v>69</v>
      </c>
      <c r="E328" s="39">
        <v>54</v>
      </c>
      <c r="F328" s="39">
        <v>53</v>
      </c>
      <c r="G328" s="39">
        <v>65</v>
      </c>
      <c r="H328" s="39">
        <v>45</v>
      </c>
      <c r="I328" s="39">
        <v>57</v>
      </c>
      <c r="J328" s="40">
        <f>=SUM(D328:I328)</f>
        <v>343</v>
      </c>
      <c r="K328" s="17">
        <f>=J328-MIN(E328,F328)</f>
        <v>290</v>
      </c>
      <c r="L328" s="41">
        <f>=(2.04*D328+246.4)*(1.1*(G328+H328)+186)</f>
        <v>118858.12</v>
      </c>
      <c r="M328" s="76" t="s"/>
      <c r="N328" s="76" t="s">
        <v>61</v>
      </c>
      <c r="O328" s="38" t="s">
        <v>577</v>
      </c>
      <c r="P328" s="121" t="s"/>
      <c r="Q328" s="121" t="s"/>
      <c r="R328" s="121" t="s"/>
      <c r="S328" s="38" t="s">
        <v>1240</v>
      </c>
    </row>
    <row r="329" spans="1:19" ht="13.55" hidden="1" customHeight="1">
      <c r="A329" s="38" t="s">
        <v>1241</v>
      </c>
      <c r="B329" s="38" t="s">
        <v>1242</v>
      </c>
      <c r="C329" s="38" t="s">
        <v>360</v>
      </c>
      <c r="D329" s="39">
        <v>65</v>
      </c>
      <c r="E329" s="39">
        <v>31</v>
      </c>
      <c r="F329" s="39">
        <v>74</v>
      </c>
      <c r="G329" s="39">
        <v>48</v>
      </c>
      <c r="H329" s="39">
        <v>67</v>
      </c>
      <c r="I329" s="39">
        <v>36</v>
      </c>
      <c r="J329" s="40">
        <f>=SUM(D329:I329)</f>
        <v>321</v>
      </c>
      <c r="K329" s="17">
        <f>=J329-MIN(E329,F329)</f>
        <v>290</v>
      </c>
      <c r="L329" s="41">
        <f>=(2.04*D329+246.4)*(1.1*(G329+H329)+186)</f>
        <v>118437.5</v>
      </c>
      <c r="M329" s="42" t="s"/>
      <c r="N329" s="42" t="s">
        <v>61</v>
      </c>
      <c r="O329" s="38" t="s">
        <v>568</v>
      </c>
      <c r="P329" s="121" t="s"/>
      <c r="Q329" s="121" t="s"/>
      <c r="R329" s="121" t="s"/>
      <c r="S329" s="38" t="s">
        <v>1243</v>
      </c>
    </row>
    <row r="330" spans="1:19" ht="13.55" hidden="1" customHeight="1">
      <c r="A330" s="38" t="s">
        <v>1244</v>
      </c>
      <c r="B330" s="38" t="s">
        <v>1245</v>
      </c>
      <c r="C330" s="38" t="s">
        <v>360</v>
      </c>
      <c r="D330" s="39">
        <v>48</v>
      </c>
      <c r="E330" s="39">
        <v>51</v>
      </c>
      <c r="F330" s="39">
        <v>57</v>
      </c>
      <c r="G330" s="39">
        <v>65</v>
      </c>
      <c r="H330" s="39">
        <v>57</v>
      </c>
      <c r="I330" s="39">
        <v>63</v>
      </c>
      <c r="J330" s="40">
        <f>=SUM(D330:I330)</f>
        <v>341</v>
      </c>
      <c r="K330" s="17">
        <f>=J330-MIN(E330,F330)</f>
        <v>290</v>
      </c>
      <c r="L330" s="41">
        <f>=(2.04*D330+246.4)*(1.1*(G330+H330)+186)</f>
        <v>110251.264</v>
      </c>
      <c r="M330" s="76" t="s"/>
      <c r="N330" s="76" t="s">
        <v>61</v>
      </c>
      <c r="O330" s="38" t="s">
        <v>643</v>
      </c>
      <c r="P330" s="121" t="s"/>
      <c r="Q330" s="121" t="s"/>
      <c r="R330" s="121" t="s"/>
      <c r="S330" s="38" t="s">
        <v>1246</v>
      </c>
    </row>
    <row r="331" spans="1:19" ht="13.55" hidden="1" customHeight="1">
      <c r="A331" s="38" t="s">
        <v>1247</v>
      </c>
      <c r="B331" s="38" t="s">
        <v>1248</v>
      </c>
      <c r="C331" s="38" t="s">
        <v>36</v>
      </c>
      <c r="D331" s="39">
        <v>68</v>
      </c>
      <c r="E331" s="39">
        <v>54</v>
      </c>
      <c r="F331" s="39">
        <v>15</v>
      </c>
      <c r="G331" s="39">
        <v>71</v>
      </c>
      <c r="H331" s="39">
        <v>56</v>
      </c>
      <c r="I331" s="39">
        <v>39</v>
      </c>
      <c r="J331" s="40">
        <f>=SUM(D331:I331)</f>
        <v>303</v>
      </c>
      <c r="K331" s="17">
        <f>=J331-MIN(E331,F331)</f>
        <v>288</v>
      </c>
      <c r="L331" s="41">
        <f>=(2.04*D331+246.4)*(1.1*(G331+H331)+186)</f>
        <v>125433.584</v>
      </c>
      <c r="M331" s="76" t="s"/>
      <c r="N331" s="76" t="s">
        <v>61</v>
      </c>
      <c r="O331" s="38" t="s">
        <v>595</v>
      </c>
      <c r="P331" s="121" t="s"/>
      <c r="Q331" s="121" t="s"/>
      <c r="R331" s="121" t="s"/>
      <c r="S331" s="38" t="s">
        <v>1249</v>
      </c>
    </row>
    <row r="332" spans="1:19" ht="13.55" hidden="1" customHeight="1">
      <c r="A332" s="38" t="s">
        <v>1250</v>
      </c>
      <c r="B332" s="38" t="s">
        <v>1251</v>
      </c>
      <c r="C332" s="38" t="s">
        <v>85</v>
      </c>
      <c r="D332" s="39">
        <v>69</v>
      </c>
      <c r="E332" s="39">
        <v>50</v>
      </c>
      <c r="F332" s="39">
        <v>47</v>
      </c>
      <c r="G332" s="39">
        <v>67</v>
      </c>
      <c r="H332" s="39">
        <v>52</v>
      </c>
      <c r="I332" s="39">
        <v>48</v>
      </c>
      <c r="J332" s="40">
        <f>=SUM(D332:I332)</f>
        <v>333</v>
      </c>
      <c r="K332" s="17">
        <f>=J332-MIN(E332,F332)</f>
        <v>286</v>
      </c>
      <c r="L332" s="41">
        <f>=(2.04*D332+246.4)*(1.1*(G332+H332)+186)</f>
        <v>122691.004</v>
      </c>
      <c r="M332" s="42" t="s"/>
      <c r="N332" s="42" t="s">
        <v>61</v>
      </c>
      <c r="O332" s="38" t="s">
        <v>608</v>
      </c>
      <c r="P332" s="121" t="s"/>
      <c r="Q332" s="121" t="s"/>
      <c r="R332" s="121" t="s"/>
      <c r="S332" s="38" t="s">
        <v>1252</v>
      </c>
    </row>
    <row r="333" spans="1:19" ht="13.55" hidden="1" customHeight="1">
      <c r="A333" s="38" t="s">
        <v>1253</v>
      </c>
      <c r="B333" s="38" t="s">
        <v>1254</v>
      </c>
      <c r="C333" s="38" t="s">
        <v>427</v>
      </c>
      <c r="D333" s="39">
        <v>64</v>
      </c>
      <c r="E333" s="39">
        <v>49</v>
      </c>
      <c r="F333" s="39">
        <v>49</v>
      </c>
      <c r="G333" s="39">
        <v>51</v>
      </c>
      <c r="H333" s="39">
        <v>50</v>
      </c>
      <c r="I333" s="39">
        <v>72</v>
      </c>
      <c r="J333" s="40">
        <f>=SUM(D333:I333)</f>
        <v>335</v>
      </c>
      <c r="K333" s="17">
        <f>=J333-MIN(E333,F333)</f>
        <v>286</v>
      </c>
      <c r="L333" s="41">
        <f>=(2.04*D333+246.4)*(1.1*(G333+H333)+186)</f>
        <v>111994.816</v>
      </c>
      <c r="M333" s="76" t="s"/>
      <c r="N333" s="76" t="s">
        <v>61</v>
      </c>
      <c r="O333" s="38" t="s">
        <v>612</v>
      </c>
      <c r="P333" s="121" t="s"/>
      <c r="Q333" s="121" t="s"/>
      <c r="R333" s="121" t="s"/>
      <c r="S333" s="38" t="s">
        <v>1255</v>
      </c>
    </row>
    <row r="334" spans="1:19" ht="13.55" hidden="1" customHeight="1">
      <c r="A334" s="38" t="s">
        <v>1256</v>
      </c>
      <c r="B334" s="38" t="s">
        <v>1257</v>
      </c>
      <c r="C334" s="38" t="s">
        <v>633</v>
      </c>
      <c r="D334" s="39">
        <v>60</v>
      </c>
      <c r="E334" s="39">
        <v>64</v>
      </c>
      <c r="F334" s="39">
        <v>66</v>
      </c>
      <c r="G334" s="39">
        <v>44</v>
      </c>
      <c r="H334" s="39">
        <v>63</v>
      </c>
      <c r="I334" s="39">
        <v>51</v>
      </c>
      <c r="J334" s="40">
        <f>=SUM(D334:I334)</f>
        <v>348</v>
      </c>
      <c r="K334" s="17">
        <f>=J334-MIN(E334,F334)</f>
        <v>284</v>
      </c>
      <c r="L334" s="41">
        <f>=(2.04*D334+246.4)*(1.1*(G334+H334)+186)</f>
        <v>112004.56</v>
      </c>
      <c r="M334" s="42" t="s"/>
      <c r="N334" s="42" t="s">
        <v>61</v>
      </c>
      <c r="O334" s="38" t="s">
        <v>634</v>
      </c>
      <c r="P334" s="121" t="s"/>
      <c r="Q334" s="121" t="s"/>
      <c r="R334" s="121" t="s"/>
      <c r="S334" s="38" t="s">
        <v>1258</v>
      </c>
    </row>
    <row r="335" spans="1:19" ht="13.55" hidden="1" customHeight="1">
      <c r="A335" s="38" t="s">
        <v>1259</v>
      </c>
      <c r="B335" s="38" t="s">
        <v>1260</v>
      </c>
      <c r="C335" s="38" t="s">
        <v>638</v>
      </c>
      <c r="D335" s="39">
        <v>73</v>
      </c>
      <c r="E335" s="39">
        <v>40</v>
      </c>
      <c r="F335" s="39">
        <v>43</v>
      </c>
      <c r="G335" s="39">
        <v>50</v>
      </c>
      <c r="H335" s="39">
        <v>57</v>
      </c>
      <c r="I335" s="39">
        <v>60</v>
      </c>
      <c r="J335" s="40">
        <f>=SUM(D335:I335)</f>
        <v>323</v>
      </c>
      <c r="K335" s="17">
        <f>=J335-MIN(E335,F335)</f>
        <v>283</v>
      </c>
      <c r="L335" s="41">
        <f>=(2.04*D335+246.4)*(1.1*(G335+H335)+186)</f>
        <v>120058.684</v>
      </c>
      <c r="M335" s="42" t="s"/>
      <c r="N335" s="42" t="s">
        <v>61</v>
      </c>
      <c r="O335" s="38" t="s">
        <v>639</v>
      </c>
      <c r="P335" s="121" t="s"/>
      <c r="Q335" s="121" t="s"/>
      <c r="R335" s="121" t="s"/>
      <c r="S335" s="38" t="s">
        <v>1261</v>
      </c>
    </row>
    <row r="336" spans="1:19" ht="13.55" hidden="1" customHeight="1">
      <c r="A336" s="38" t="s">
        <v>1262</v>
      </c>
      <c r="B336" s="38" t="s">
        <v>1263</v>
      </c>
      <c r="C336" s="38" t="s">
        <v>427</v>
      </c>
      <c r="D336" s="39">
        <v>47</v>
      </c>
      <c r="E336" s="39">
        <v>49</v>
      </c>
      <c r="F336" s="39">
        <v>49</v>
      </c>
      <c r="G336" s="39">
        <v>55</v>
      </c>
      <c r="H336" s="39">
        <v>57</v>
      </c>
      <c r="I336" s="39">
        <v>75</v>
      </c>
      <c r="J336" s="40">
        <f>=SUM(D336:I336)</f>
        <v>332</v>
      </c>
      <c r="K336" s="17">
        <f>=J336-MIN(E336,F336)</f>
        <v>283</v>
      </c>
      <c r="L336" s="41">
        <f>=(2.04*D336+246.4)*(1.1*(G336+H336)+186)</f>
        <v>105832.976</v>
      </c>
      <c r="M336" s="76" t="s"/>
      <c r="N336" s="76" t="s">
        <v>61</v>
      </c>
      <c r="O336" s="38" t="s">
        <v>651</v>
      </c>
      <c r="P336" s="121" t="s"/>
      <c r="Q336" s="121" t="s"/>
      <c r="R336" s="121" t="s"/>
      <c r="S336" s="38" t="s">
        <v>1264</v>
      </c>
    </row>
    <row r="337" spans="1:19" ht="13.55" hidden="1" customHeight="1">
      <c r="A337" s="38" t="s">
        <v>1265</v>
      </c>
      <c r="B337" s="38" t="s">
        <v>1266</v>
      </c>
      <c r="C337" s="38" t="s">
        <v>65</v>
      </c>
      <c r="D337" s="39">
        <v>56</v>
      </c>
      <c r="E337" s="39">
        <v>38</v>
      </c>
      <c r="F337" s="39">
        <v>38</v>
      </c>
      <c r="G337" s="39">
        <v>67</v>
      </c>
      <c r="H337" s="39">
        <v>52</v>
      </c>
      <c r="I337" s="39">
        <v>69</v>
      </c>
      <c r="J337" s="40">
        <f>=SUM(D337:I337)</f>
        <v>320</v>
      </c>
      <c r="K337" s="17">
        <f>=J337-MIN(E337,F337)</f>
        <v>282</v>
      </c>
      <c r="L337" s="41">
        <f>=(2.04*D337+246.4)*(1.1*(G337+H337)+186)</f>
        <v>114286.816</v>
      </c>
      <c r="M337" s="42" t="s"/>
      <c r="N337" s="42" t="s">
        <v>61</v>
      </c>
      <c r="O337" s="38" t="s">
        <v>647</v>
      </c>
      <c r="P337" s="121" t="s"/>
      <c r="Q337" s="121" t="s"/>
      <c r="R337" s="121" t="s"/>
      <c r="S337" s="38" t="s">
        <v>1267</v>
      </c>
    </row>
    <row r="338" spans="1:19" ht="13.55" hidden="1" customHeight="1">
      <c r="A338" s="38" t="s">
        <v>1268</v>
      </c>
      <c r="B338" s="38" t="s">
        <v>1269</v>
      </c>
      <c r="C338" s="38" t="s">
        <v>41</v>
      </c>
      <c r="D338" s="39">
        <v>44</v>
      </c>
      <c r="E338" s="39">
        <v>60</v>
      </c>
      <c r="F338" s="39">
        <v>16</v>
      </c>
      <c r="G338" s="39">
        <v>68</v>
      </c>
      <c r="H338" s="39">
        <v>53</v>
      </c>
      <c r="I338" s="39">
        <v>54</v>
      </c>
      <c r="J338" s="40">
        <f>=SUM(D338:I338)</f>
        <v>295</v>
      </c>
      <c r="K338" s="17">
        <f>=J338-MIN(E338,F338)</f>
        <v>279</v>
      </c>
      <c r="L338" s="41">
        <f>=(2.04*D338+246.4)*(1.1*(G338+H338)+186)</f>
        <v>107268.656</v>
      </c>
      <c r="M338" s="42" t="s"/>
      <c r="N338" s="42" t="s">
        <v>61</v>
      </c>
      <c r="O338" s="38" t="s">
        <v>655</v>
      </c>
      <c r="P338" s="121" t="s"/>
      <c r="Q338" s="121" t="s"/>
      <c r="R338" s="121" t="s"/>
      <c r="S338" s="38" t="s">
        <v>1270</v>
      </c>
    </row>
    <row r="339" spans="1:19" ht="13.55" hidden="1" customHeight="1">
      <c r="A339" s="38" t="s">
        <v>1271</v>
      </c>
      <c r="B339" s="38" t="s">
        <v>1272</v>
      </c>
      <c r="C339" s="38" t="s">
        <v>144</v>
      </c>
      <c r="D339" s="39">
        <v>70</v>
      </c>
      <c r="E339" s="39">
        <v>7</v>
      </c>
      <c r="F339" s="39">
        <v>37</v>
      </c>
      <c r="G339" s="39">
        <v>57</v>
      </c>
      <c r="H339" s="39">
        <v>64</v>
      </c>
      <c r="I339" s="39">
        <v>48</v>
      </c>
      <c r="J339" s="40">
        <f>=SUM(D339:I339)</f>
        <v>283</v>
      </c>
      <c r="K339" s="17">
        <f>=J339-MIN(E339,F339)</f>
        <v>276</v>
      </c>
      <c r="L339" s="41">
        <f>=(2.04*D339+246.4)*(1.1*(G339+H339)+186)</f>
        <v>124193.72</v>
      </c>
      <c r="M339" s="76" t="s"/>
      <c r="N339" s="76" t="s">
        <v>61</v>
      </c>
      <c r="O339" s="38" t="s">
        <v>690</v>
      </c>
      <c r="P339" s="121" t="s"/>
      <c r="Q339" s="121" t="s"/>
      <c r="R339" s="121" t="s"/>
      <c r="S339" s="38" t="s">
        <v>1273</v>
      </c>
    </row>
    <row r="340" spans="1:19" ht="13.55" hidden="1" customHeight="1">
      <c r="A340" s="38" t="s">
        <v>1274</v>
      </c>
      <c r="B340" s="38" t="s">
        <v>1275</v>
      </c>
      <c r="C340" s="38" t="s">
        <v>360</v>
      </c>
      <c r="D340" s="39">
        <v>63</v>
      </c>
      <c r="E340" s="39">
        <v>57</v>
      </c>
      <c r="F340" s="39">
        <v>57</v>
      </c>
      <c r="G340" s="39">
        <v>56</v>
      </c>
      <c r="H340" s="39">
        <v>59</v>
      </c>
      <c r="I340" s="39">
        <v>33</v>
      </c>
      <c r="J340" s="40">
        <f>=SUM(D340:I340)</f>
        <v>325</v>
      </c>
      <c r="K340" s="17">
        <f>=J340-MIN(E340,F340)</f>
        <v>268</v>
      </c>
      <c r="L340" s="41">
        <f>=(2.04*D340+246.4)*(1.1*(G340+H340)+186)</f>
        <v>117162.5</v>
      </c>
      <c r="M340" s="42" t="s"/>
      <c r="N340" s="42" t="s">
        <v>61</v>
      </c>
      <c r="O340" s="38" t="s">
        <v>713</v>
      </c>
      <c r="P340" s="121" t="s"/>
      <c r="Q340" s="121" t="s"/>
      <c r="R340" s="121" t="s"/>
      <c r="S340" s="38" t="s">
        <v>1276</v>
      </c>
    </row>
    <row r="341" spans="1:19" ht="13.55" hidden="1" customHeight="1">
      <c r="A341" s="38" t="s">
        <v>1277</v>
      </c>
      <c r="B341" s="38" t="s">
        <v>1278</v>
      </c>
      <c r="C341" s="38" t="s">
        <v>572</v>
      </c>
      <c r="D341" s="39">
        <v>55</v>
      </c>
      <c r="E341" s="39">
        <v>37</v>
      </c>
      <c r="F341" s="39">
        <v>37</v>
      </c>
      <c r="G341" s="39">
        <v>55</v>
      </c>
      <c r="H341" s="39">
        <v>55</v>
      </c>
      <c r="I341" s="39">
        <v>66</v>
      </c>
      <c r="J341" s="40">
        <f>=SUM(D341:I341)</f>
        <v>305</v>
      </c>
      <c r="K341" s="17">
        <f>=J341-MIN(E341,F341)</f>
        <v>268</v>
      </c>
      <c r="L341" s="41">
        <f>=(2.04*D341+246.4)*(1.1*(G341+H341)+186)</f>
        <v>110090.2</v>
      </c>
      <c r="M341" s="76" t="s"/>
      <c r="N341" s="76" t="s">
        <v>61</v>
      </c>
      <c r="O341" s="38" t="s">
        <v>731</v>
      </c>
      <c r="P341" s="121" t="s"/>
      <c r="Q341" s="121" t="s"/>
      <c r="R341" s="121" t="s"/>
      <c r="S341" s="38" t="s">
        <v>1279</v>
      </c>
    </row>
    <row r="342" spans="1:19" ht="13.55" hidden="1" customHeight="1">
      <c r="A342" s="38" t="s">
        <v>1280</v>
      </c>
      <c r="B342" s="38" t="s">
        <v>1281</v>
      </c>
      <c r="C342" s="38" t="s">
        <v>1104</v>
      </c>
      <c r="D342" s="39">
        <v>116</v>
      </c>
      <c r="E342" s="39">
        <v>43</v>
      </c>
      <c r="F342" s="39">
        <v>39</v>
      </c>
      <c r="G342" s="39">
        <v>36</v>
      </c>
      <c r="H342" s="39">
        <v>36</v>
      </c>
      <c r="I342" s="39">
        <v>35</v>
      </c>
      <c r="J342" s="40">
        <f>=SUM(D342:I342)</f>
        <v>305</v>
      </c>
      <c r="K342" s="17">
        <f>=J342-MIN(E342,F342)</f>
        <v>266</v>
      </c>
      <c r="L342" s="41">
        <f>=(2.04*D342+246.4)*(1.1*(G342+H342)+186)</f>
        <v>128102.208</v>
      </c>
      <c r="M342" s="76" t="s"/>
      <c r="N342" s="76" t="s">
        <v>61</v>
      </c>
      <c r="O342" s="38" t="s">
        <v>1105</v>
      </c>
      <c r="P342" s="121" t="s"/>
      <c r="Q342" s="121" t="s"/>
      <c r="R342" s="121" t="s"/>
      <c r="S342" s="38" t="s">
        <v>1282</v>
      </c>
    </row>
    <row r="343" spans="1:19" ht="13.55" hidden="1" customHeight="1">
      <c r="A343" s="38" t="s">
        <v>1283</v>
      </c>
      <c r="B343" s="38" t="s">
        <v>1284</v>
      </c>
      <c r="C343" s="38" t="s">
        <v>1109</v>
      </c>
      <c r="D343" s="39">
        <v>42</v>
      </c>
      <c r="E343" s="39">
        <v>37</v>
      </c>
      <c r="F343" s="39">
        <v>37</v>
      </c>
      <c r="G343" s="39">
        <v>53</v>
      </c>
      <c r="H343" s="39">
        <v>53</v>
      </c>
      <c r="I343" s="39">
        <v>80</v>
      </c>
      <c r="J343" s="40">
        <f>=SUM(D343:I343)</f>
        <v>302</v>
      </c>
      <c r="K343" s="17">
        <f>=J343-MIN(E343,F343)</f>
        <v>265</v>
      </c>
      <c r="L343" s="41">
        <f>=(2.04*D343+246.4)*(1.1*(G343+H343)+186)</f>
        <v>100487.408</v>
      </c>
      <c r="M343" s="76" t="s"/>
      <c r="N343" s="76" t="s">
        <v>61</v>
      </c>
      <c r="O343" s="38" t="s">
        <v>1110</v>
      </c>
      <c r="P343" s="121" t="s"/>
      <c r="Q343" s="121" t="s"/>
      <c r="R343" s="121" t="s"/>
      <c r="S343" s="38" t="s">
        <v>1285</v>
      </c>
    </row>
    <row r="344" spans="1:19" ht="13.55" hidden="1" customHeight="1">
      <c r="A344" s="38" t="s">
        <v>1286</v>
      </c>
      <c r="B344" s="38" t="s">
        <v>1287</v>
      </c>
      <c r="C344" s="38" t="s">
        <v>248</v>
      </c>
      <c r="D344" s="39">
        <v>44</v>
      </c>
      <c r="E344" s="39">
        <v>56</v>
      </c>
      <c r="F344" s="39">
        <v>50</v>
      </c>
      <c r="G344" s="39">
        <v>39</v>
      </c>
      <c r="H344" s="39">
        <v>48</v>
      </c>
      <c r="I344" s="39">
        <v>75</v>
      </c>
      <c r="J344" s="40">
        <f>=SUM(D344:I344)</f>
        <v>312</v>
      </c>
      <c r="K344" s="17">
        <f>=J344-MIN(E344,F344)</f>
        <v>262</v>
      </c>
      <c r="L344" s="41">
        <f>=(2.04*D344+246.4)*(1.1*(G344+H344)+186)</f>
        <v>94696.272</v>
      </c>
      <c r="M344" s="42" t="s"/>
      <c r="N344" s="42" t="s">
        <v>61</v>
      </c>
      <c r="O344" s="38" t="s">
        <v>763</v>
      </c>
      <c r="P344" s="121" t="s"/>
      <c r="Q344" s="121" t="s"/>
      <c r="R344" s="121" t="s"/>
      <c r="S344" s="38" t="s">
        <v>1288</v>
      </c>
    </row>
    <row r="345" spans="1:19" ht="13.55" hidden="1" customHeight="1">
      <c r="A345" s="38" t="s">
        <v>1289</v>
      </c>
      <c r="B345" s="38" t="s">
        <v>1290</v>
      </c>
      <c r="C345" s="38" t="s">
        <v>572</v>
      </c>
      <c r="D345" s="39">
        <v>49</v>
      </c>
      <c r="E345" s="39">
        <v>47</v>
      </c>
      <c r="F345" s="39">
        <v>47</v>
      </c>
      <c r="G345" s="39">
        <v>46</v>
      </c>
      <c r="H345" s="39">
        <v>58</v>
      </c>
      <c r="I345" s="39">
        <v>60</v>
      </c>
      <c r="J345" s="40">
        <f>=SUM(D345:I345)</f>
        <v>307</v>
      </c>
      <c r="K345" s="17">
        <f>=J345-MIN(E345,F345)</f>
        <v>260</v>
      </c>
      <c r="L345" s="41">
        <f>=(2.04*D345+246.4)*(1.1*(G345+H345)+186)</f>
        <v>104046.544</v>
      </c>
      <c r="M345" s="76" t="s"/>
      <c r="N345" s="76" t="s">
        <v>61</v>
      </c>
      <c r="O345" s="38" t="s">
        <v>785</v>
      </c>
      <c r="P345" s="121" t="s"/>
      <c r="Q345" s="121" t="s"/>
      <c r="R345" s="121" t="s"/>
      <c r="S345" s="38" t="s">
        <v>1291</v>
      </c>
    </row>
    <row r="346" spans="1:19" ht="13.55" hidden="1" customHeight="1">
      <c r="A346" s="38" t="s">
        <v>1292</v>
      </c>
      <c r="B346" s="38" t="s">
        <v>1293</v>
      </c>
      <c r="C346" s="38" t="s">
        <v>360</v>
      </c>
      <c r="D346" s="39">
        <v>44</v>
      </c>
      <c r="E346" s="39">
        <v>45</v>
      </c>
      <c r="F346" s="39">
        <v>12</v>
      </c>
      <c r="G346" s="39">
        <v>49</v>
      </c>
      <c r="H346" s="39">
        <v>40</v>
      </c>
      <c r="I346" s="39">
        <v>78</v>
      </c>
      <c r="J346" s="40">
        <f>=SUM(D346:I346)</f>
        <v>268</v>
      </c>
      <c r="K346" s="17">
        <f>=J346-MIN(E346,F346)</f>
        <v>256</v>
      </c>
      <c r="L346" s="41">
        <f>=(2.04*D346+246.4)*(1.1*(G346+H346)+186)</f>
        <v>95435.824</v>
      </c>
      <c r="M346" s="76" t="s"/>
      <c r="N346" s="76" t="s">
        <v>61</v>
      </c>
      <c r="O346" s="38" t="s">
        <v>814</v>
      </c>
      <c r="P346" s="121" t="s"/>
      <c r="Q346" s="121" t="s"/>
      <c r="R346" s="121" t="s"/>
      <c r="S346" s="38" t="s">
        <v>1294</v>
      </c>
    </row>
    <row r="347" spans="1:19" ht="13.55" hidden="1" customHeight="1">
      <c r="A347" s="38" t="s">
        <v>1295</v>
      </c>
      <c r="B347" s="38" t="s">
        <v>1296</v>
      </c>
      <c r="C347" s="38" t="s">
        <v>130</v>
      </c>
      <c r="D347" s="39">
        <v>74</v>
      </c>
      <c r="E347" s="39">
        <v>38</v>
      </c>
      <c r="F347" s="39">
        <v>41</v>
      </c>
      <c r="G347" s="39">
        <v>30</v>
      </c>
      <c r="H347" s="39">
        <v>60</v>
      </c>
      <c r="I347" s="39">
        <v>36</v>
      </c>
      <c r="J347" s="40">
        <f>=SUM(D347:I347)</f>
        <v>279</v>
      </c>
      <c r="K347" s="17">
        <f>=J347-MIN(E347,F347)</f>
        <v>241</v>
      </c>
      <c r="L347" s="41">
        <f>=(2.04*D347+246.4)*(1.1*(G347+H347)+186)</f>
        <v>113247.6</v>
      </c>
      <c r="M347" s="42" t="s"/>
      <c r="N347" s="42" t="s">
        <v>61</v>
      </c>
      <c r="O347" s="38" t="s">
        <v>938</v>
      </c>
      <c r="P347" s="121" t="s"/>
      <c r="Q347" s="121" t="s"/>
      <c r="R347" s="121" t="s"/>
      <c r="S347" s="38" t="s">
        <v>1297</v>
      </c>
    </row>
    <row r="348" spans="1:19" ht="13.55" hidden="1" customHeight="1">
      <c r="A348" s="38" t="s">
        <v>1298</v>
      </c>
      <c r="B348" s="38" t="s">
        <v>1299</v>
      </c>
      <c r="C348" s="38" t="s">
        <v>1104</v>
      </c>
      <c r="D348" s="39">
        <v>87</v>
      </c>
      <c r="E348" s="39">
        <v>32</v>
      </c>
      <c r="F348" s="39">
        <v>29</v>
      </c>
      <c r="G348" s="39">
        <v>27</v>
      </c>
      <c r="H348" s="39">
        <v>27</v>
      </c>
      <c r="I348" s="39">
        <v>26</v>
      </c>
      <c r="J348" s="40">
        <f>=SUM(D348:I348)</f>
        <v>228</v>
      </c>
      <c r="K348" s="17">
        <f>=J348-MIN(E348,F348)</f>
        <v>199</v>
      </c>
      <c r="L348" s="41">
        <f>=(2.04*D348+246.4)*(1.1*(G348+H348)+186)</f>
        <v>104020.152</v>
      </c>
      <c r="M348" s="76" t="s"/>
      <c r="N348" s="76" t="s">
        <v>61</v>
      </c>
      <c r="O348" s="38" t="s">
        <v>1105</v>
      </c>
      <c r="P348" s="121" t="s"/>
      <c r="Q348" s="121" t="s"/>
      <c r="R348" s="121" t="s"/>
      <c r="S348" s="38" t="s">
        <v>1300</v>
      </c>
    </row>
    <row r="349" spans="1:19" ht="13.55" hidden="1" customHeight="1">
      <c r="A349" s="38" t="s">
        <v>1301</v>
      </c>
      <c r="B349" s="38" t="s">
        <v>1302</v>
      </c>
      <c r="C349" s="38" t="s">
        <v>1109</v>
      </c>
      <c r="D349" s="39">
        <v>32</v>
      </c>
      <c r="E349" s="39">
        <v>28</v>
      </c>
      <c r="F349" s="39">
        <v>28</v>
      </c>
      <c r="G349" s="39">
        <v>40</v>
      </c>
      <c r="H349" s="39">
        <v>40</v>
      </c>
      <c r="I349" s="39">
        <v>60</v>
      </c>
      <c r="J349" s="40">
        <f>=SUM(D349:I349)</f>
        <v>228</v>
      </c>
      <c r="K349" s="17">
        <f>=J349-MIN(E349,F349)</f>
        <v>200</v>
      </c>
      <c r="L349" s="41">
        <f>=(2.04*D349+246.4)*(1.1*(G349+H349)+186)</f>
        <v>85400.32</v>
      </c>
      <c r="M349" s="76" t="s"/>
      <c r="N349" s="76" t="s">
        <v>61</v>
      </c>
      <c r="O349" s="38" t="s">
        <v>1110</v>
      </c>
      <c r="P349" s="121" t="s"/>
      <c r="Q349" s="121" t="s"/>
      <c r="R349" s="121" t="s"/>
      <c r="S349" s="38" t="s">
        <v>1303</v>
      </c>
    </row>
  </sheetData>
  <autoFilter ref="A1:W349">
    <filterColumn colId="13">
      <filters blank="0">
        <filter val="是"/>
        <filter val="特殊"/>
      </filters>
    </filterColumn>
    <sortState ref="A2:W349">
      <sortCondition descending="0" ref="M1:M349"/>
    </sortState>
  </autoFilter>
  <pageMargins left="0.75" right="0.75" top="1" bottom="1" header="0.5" footer="0.5"/>
  <pageSetup scale="100" firstPageNumber="1" fitToWidth="1" fitToHeight="1" pageOrder="downThenOver" orientation="portrait" useFirstPageNumber="0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>
  <sheetPr codeName="速度线">
    <tabColor/>
  </sheetPr>
  <dimension ref="C21"/>
  <sheetViews>
    <sheetView showGridLines="1" workbookViewId="0"/>
  </sheetViews>
  <sheetFormatPr baseColWidth="13" defaultRowHeight="18" customHeight="1"/>
  <cols>
    <col min="1" max="2" width="13.6133" style="80"/>
    <col min="3" max="3" width="54.0898" style="80" customWidth="1"/>
    <col min="4" max="26" width="13.6133" style="80"/>
  </cols>
  <sheetData>
    <row r="1" spans="1:3">
      <c r="A1" s="80" t="s">
        <v>1304</v>
      </c>
      <c r="B1" s="80" t="s">
        <v>1305</v>
      </c>
      <c r="C1" s="80" t="s">
        <v>1306</v>
      </c>
    </row>
    <row r="2" spans="1:3">
      <c r="A2" s="80" t="s">
        <v>1307</v>
      </c>
      <c r="B2" s="80">
        <v>354</v>
      </c>
      <c r="C2" s="80" t="s">
        <v>1308</v>
      </c>
    </row>
    <row r="3" spans="1:3">
      <c r="A3" s="80" t="s">
        <v>1309</v>
      </c>
      <c r="B3" s="80">
        <v>304</v>
      </c>
      <c r="C3" s="81" t="s">
        <v>138</v>
      </c>
    </row>
    <row r="4" spans="1:3">
      <c r="A4" s="80" t="s">
        <v>1310</v>
      </c>
      <c r="B4" s="80">
        <v>300</v>
      </c>
      <c r="C4" s="82" t="s">
        <v>390</v>
      </c>
    </row>
    <row r="5" spans="1:3">
      <c r="A5" s="80" t="s">
        <v>1311</v>
      </c>
      <c r="B5" s="80">
        <v>294</v>
      </c>
      <c r="C5" s="83" t="s">
        <v>1343</v>
      </c>
    </row>
    <row r="6" spans="1:3">
      <c r="A6" s="80" t="s">
        <v>1312</v>
      </c>
      <c r="B6" s="80">
        <v>291</v>
      </c>
      <c r="C6" s="81" t="s">
        <v>114</v>
      </c>
    </row>
    <row r="7" spans="1:3">
      <c r="A7" s="80" t="s">
        <v>1313</v>
      </c>
      <c r="B7" s="80">
        <v>284</v>
      </c>
      <c r="C7" s="80" t="s">
        <v>784</v>
      </c>
    </row>
    <row r="8" spans="1:3">
      <c r="A8" s="80" t="s">
        <v>1314</v>
      </c>
      <c r="B8" s="80">
        <v>281</v>
      </c>
      <c r="C8" s="81" t="s">
        <v>1315</v>
      </c>
    </row>
    <row r="9" spans="1:3">
      <c r="A9" s="80">
        <v>135</v>
      </c>
      <c r="B9" s="80">
        <v>280</v>
      </c>
      <c r="C9" s="83" t="s">
        <v>1344</v>
      </c>
    </row>
    <row r="10" spans="1:3">
      <c r="A10" s="80">
        <v>130</v>
      </c>
      <c r="B10" s="80">
        <v>273</v>
      </c>
      <c r="C10" s="83" t="s">
        <v>1345</v>
      </c>
    </row>
    <row r="11" spans="1:3">
      <c r="A11" s="80" t="s">
        <v>1316</v>
      </c>
      <c r="B11" s="80">
        <v>270</v>
      </c>
      <c r="C11" s="80" t="s">
        <v>1317</v>
      </c>
    </row>
    <row r="12" spans="1:3">
      <c r="A12" s="80" t="s">
        <v>1318</v>
      </c>
      <c r="B12" s="80">
        <v>268</v>
      </c>
      <c r="C12" s="80" t="s">
        <v>493</v>
      </c>
    </row>
    <row r="13" spans="1:3">
      <c r="A13" s="80">
        <v>125</v>
      </c>
      <c r="B13" s="80">
        <v>267</v>
      </c>
      <c r="C13" s="83" t="s">
        <v>1346</v>
      </c>
    </row>
    <row r="14" spans="1:3">
      <c r="A14" s="80">
        <v>120</v>
      </c>
      <c r="B14" s="80">
        <v>260</v>
      </c>
      <c r="C14" s="83" t="s">
        <v>1347</v>
      </c>
    </row>
    <row r="15" spans="1:3">
      <c r="A15" s="80">
        <v>115</v>
      </c>
      <c r="B15" s="80">
        <v>254</v>
      </c>
      <c r="C15" s="81" t="s">
        <v>1319</v>
      </c>
    </row>
    <row r="16" spans="1:3">
      <c r="A16" s="80">
        <v>110</v>
      </c>
      <c r="B16" s="80">
        <v>247</v>
      </c>
      <c r="C16" s="80" t="s">
        <v>188</v>
      </c>
    </row>
    <row r="17" spans="1:3">
      <c r="A17" s="80" t="s">
        <v>1320</v>
      </c>
      <c r="B17" s="80">
        <v>244</v>
      </c>
      <c r="C17" s="81" t="s">
        <v>84</v>
      </c>
    </row>
    <row r="18" spans="1:3">
      <c r="A18" s="80">
        <v>105</v>
      </c>
      <c r="B18" s="80">
        <v>241</v>
      </c>
      <c r="C18" s="83" t="s">
        <v>1348</v>
      </c>
    </row>
    <row r="19" spans="1:3">
      <c r="A19" s="80" t="s">
        <v>1321</v>
      </c>
      <c r="B19" s="80">
        <v>220</v>
      </c>
      <c r="C19" s="81" t="s">
        <v>1322</v>
      </c>
    </row>
    <row r="20" spans="1:3">
      <c r="A20" s="80" t="s">
        <v>1323</v>
      </c>
      <c r="B20" s="80">
        <v>214</v>
      </c>
      <c r="C20" s="81" t="s">
        <v>1324</v>
      </c>
    </row>
    <row r="21" spans="1:3">
      <c r="A21" s="80" t="s">
        <v>1325</v>
      </c>
      <c r="B21" s="80">
        <v>203</v>
      </c>
      <c r="C21" s="81" t="s">
        <v>1326</v>
      </c>
    </row>
  </sheetData>
</worksheet>
</file>

<file path=xl/worksheets/sheet3.xml><?xml version="1.0" encoding="utf-8"?>
<worksheet xmlns="http://schemas.openxmlformats.org/spreadsheetml/2006/main">
  <sheetPr codeName="属性"/>
  <dimension ref="V19"/>
  <sheetViews>
    <sheetView showGridLines="1" workbookViewId="0"/>
  </sheetViews>
  <sheetFormatPr baseColWidth="13" defaultRowHeight="18" customHeight="1"/>
  <cols>
    <col min="1" max="22" width="4.90234" customWidth="1"/>
    <col min="23" max="26" width="7.35938" customWidth="1"/>
  </cols>
  <sheetData>
    <row r="1" spans="1:22">
      <c r="A1" s="84" t="s"/>
      <c r="B1" s="85" t="s">
        <v>36</v>
      </c>
      <c r="C1" s="85" t="s">
        <v>125</v>
      </c>
      <c r="D1" s="85" t="s">
        <v>360</v>
      </c>
      <c r="E1" s="85" t="s">
        <v>115</v>
      </c>
      <c r="F1" s="85" t="s">
        <v>1327</v>
      </c>
      <c r="G1" s="85" t="s">
        <v>1328</v>
      </c>
      <c r="H1" s="85" t="s">
        <v>1329</v>
      </c>
      <c r="I1" s="85" t="s">
        <v>46</v>
      </c>
      <c r="J1" s="85" t="s">
        <v>41</v>
      </c>
      <c r="K1" s="85" t="s">
        <v>149</v>
      </c>
      <c r="L1" s="85" t="s">
        <v>427</v>
      </c>
      <c r="M1" s="85" t="s">
        <v>248</v>
      </c>
      <c r="N1" s="85" t="s">
        <v>572</v>
      </c>
      <c r="O1" s="85" t="s">
        <v>350</v>
      </c>
      <c r="P1" s="85" t="s">
        <v>65</v>
      </c>
      <c r="Q1" s="85" t="s">
        <v>120</v>
      </c>
      <c r="R1" s="85" t="s">
        <v>18</v>
      </c>
      <c r="S1" s="85" t="s">
        <v>130</v>
      </c>
      <c r="T1" s="86" t="s">
        <v>1330</v>
      </c>
      <c r="U1" s="86" t="s">
        <v>1331</v>
      </c>
      <c r="V1" s="86" t="s">
        <v>1332</v>
      </c>
    </row>
    <row r="2" spans="1:22">
      <c r="A2" s="86" t="s">
        <v>18</v>
      </c>
      <c r="B2" s="87">
        <v>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1</v>
      </c>
      <c r="I2" s="87">
        <v>2</v>
      </c>
      <c r="J2" s="87">
        <v>2</v>
      </c>
      <c r="K2" s="87">
        <v>1</v>
      </c>
      <c r="L2" s="87">
        <v>0</v>
      </c>
      <c r="M2" s="87">
        <v>1</v>
      </c>
      <c r="N2" s="87">
        <v>1</v>
      </c>
      <c r="O2" s="87">
        <v>1</v>
      </c>
      <c r="P2" s="87">
        <v>1</v>
      </c>
      <c r="Q2" s="87">
        <v>2</v>
      </c>
      <c r="R2" s="87">
        <v>0</v>
      </c>
      <c r="S2" s="87">
        <v>1</v>
      </c>
      <c r="T2" s="88">
        <f>=SUM(B2:S2)-18</f>
        <v>-1</v>
      </c>
      <c r="U2" s="89">
        <v>7</v>
      </c>
      <c r="V2" s="89">
        <f>=SUM(T2:U2)</f>
        <v>6</v>
      </c>
    </row>
    <row r="3" spans="1:22">
      <c r="A3" s="86" t="s">
        <v>36</v>
      </c>
      <c r="B3" s="88">
        <v>1</v>
      </c>
      <c r="C3" s="88">
        <v>0</v>
      </c>
      <c r="D3" s="88">
        <v>2</v>
      </c>
      <c r="E3" s="88">
        <v>1</v>
      </c>
      <c r="F3" s="88">
        <v>1</v>
      </c>
      <c r="G3" s="88">
        <v>1</v>
      </c>
      <c r="H3" s="88">
        <v>1</v>
      </c>
      <c r="I3" s="88">
        <v>0</v>
      </c>
      <c r="J3" s="88">
        <v>2</v>
      </c>
      <c r="K3" s="88">
        <v>0</v>
      </c>
      <c r="L3" s="88">
        <v>1</v>
      </c>
      <c r="M3" s="88">
        <v>1</v>
      </c>
      <c r="N3" s="88">
        <v>2</v>
      </c>
      <c r="O3" s="88">
        <v>1</v>
      </c>
      <c r="P3" s="88">
        <v>1</v>
      </c>
      <c r="Q3" s="88">
        <v>1</v>
      </c>
      <c r="R3" s="88">
        <v>2</v>
      </c>
      <c r="S3" s="88">
        <v>1</v>
      </c>
      <c r="T3" s="88">
        <f>=SUM(B3:S3)-18</f>
        <v>1</v>
      </c>
      <c r="U3" s="89">
        <v>3</v>
      </c>
      <c r="V3" s="89">
        <f>=SUM(T3:U3)</f>
        <v>4</v>
      </c>
    </row>
    <row r="4" spans="1:22">
      <c r="A4" s="86" t="s">
        <v>1328</v>
      </c>
      <c r="B4" s="88">
        <v>1</v>
      </c>
      <c r="C4" s="88">
        <v>1</v>
      </c>
      <c r="D4" s="88">
        <v>1</v>
      </c>
      <c r="E4" s="88">
        <v>2</v>
      </c>
      <c r="F4" s="88">
        <v>0</v>
      </c>
      <c r="G4" s="88">
        <v>2</v>
      </c>
      <c r="H4" s="88">
        <v>0</v>
      </c>
      <c r="I4" s="88">
        <v>1</v>
      </c>
      <c r="J4" s="88">
        <v>1</v>
      </c>
      <c r="K4" s="88">
        <v>1</v>
      </c>
      <c r="L4" s="88">
        <v>1</v>
      </c>
      <c r="M4" s="88">
        <v>1</v>
      </c>
      <c r="N4" s="88">
        <v>1</v>
      </c>
      <c r="O4" s="88">
        <v>1</v>
      </c>
      <c r="P4" s="88">
        <v>1</v>
      </c>
      <c r="Q4" s="88">
        <v>1</v>
      </c>
      <c r="R4" s="88">
        <v>1</v>
      </c>
      <c r="S4" s="88">
        <v>2</v>
      </c>
      <c r="T4" s="88">
        <f>=SUM(B4:S4)-18</f>
        <v>1</v>
      </c>
      <c r="U4" s="89">
        <v>1</v>
      </c>
      <c r="V4" s="89">
        <f>=SUM(T4:U4)</f>
        <v>2</v>
      </c>
    </row>
    <row r="5" spans="1:22">
      <c r="A5" s="86" t="s">
        <v>46</v>
      </c>
      <c r="B5" s="88">
        <v>2</v>
      </c>
      <c r="C5" s="88">
        <v>1</v>
      </c>
      <c r="D5" s="88">
        <v>0</v>
      </c>
      <c r="E5" s="88">
        <v>1</v>
      </c>
      <c r="F5" s="88">
        <v>1</v>
      </c>
      <c r="G5" s="88">
        <v>1</v>
      </c>
      <c r="H5" s="88">
        <v>1</v>
      </c>
      <c r="I5" s="88">
        <v>1</v>
      </c>
      <c r="J5" s="88">
        <v>2</v>
      </c>
      <c r="K5" s="88">
        <v>1</v>
      </c>
      <c r="L5" s="88">
        <v>2</v>
      </c>
      <c r="M5" s="88">
        <v>2</v>
      </c>
      <c r="N5" s="88">
        <v>1</v>
      </c>
      <c r="O5" s="88">
        <v>0</v>
      </c>
      <c r="P5" s="88">
        <v>1</v>
      </c>
      <c r="Q5" s="88">
        <v>1</v>
      </c>
      <c r="R5" s="88">
        <v>1</v>
      </c>
      <c r="S5" s="88">
        <v>1</v>
      </c>
      <c r="T5" s="88">
        <f>=SUM(B5:S5)-18</f>
        <v>2</v>
      </c>
      <c r="U5" s="89">
        <v>0</v>
      </c>
      <c r="V5" s="89">
        <f>=SUM(T5:U5)</f>
        <v>2</v>
      </c>
    </row>
    <row r="6" spans="1:22">
      <c r="A6" s="86" t="s">
        <v>149</v>
      </c>
      <c r="B6" s="88">
        <v>1</v>
      </c>
      <c r="C6" s="88">
        <v>1</v>
      </c>
      <c r="D6" s="88">
        <v>1</v>
      </c>
      <c r="E6" s="88">
        <v>1</v>
      </c>
      <c r="F6" s="88">
        <v>1</v>
      </c>
      <c r="G6" s="88">
        <v>1</v>
      </c>
      <c r="H6" s="88">
        <v>1</v>
      </c>
      <c r="I6" s="88">
        <v>1</v>
      </c>
      <c r="J6" s="88">
        <v>1</v>
      </c>
      <c r="K6" s="88">
        <v>2</v>
      </c>
      <c r="L6" s="88">
        <v>1</v>
      </c>
      <c r="M6" s="88">
        <v>1</v>
      </c>
      <c r="N6" s="88">
        <v>1</v>
      </c>
      <c r="O6" s="88">
        <v>1</v>
      </c>
      <c r="P6" s="88">
        <v>1</v>
      </c>
      <c r="Q6" s="88">
        <v>1</v>
      </c>
      <c r="R6" s="88">
        <v>0</v>
      </c>
      <c r="S6" s="88">
        <v>1</v>
      </c>
      <c r="T6" s="88">
        <f>=SUM(B6:S6)-18</f>
        <v>0</v>
      </c>
      <c r="U6" s="89">
        <v>2</v>
      </c>
      <c r="V6" s="89">
        <f>=SUM(T6:U6)</f>
        <v>2</v>
      </c>
    </row>
    <row r="7" spans="1:22">
      <c r="A7" s="86" t="s">
        <v>125</v>
      </c>
      <c r="B7" s="88">
        <v>2</v>
      </c>
      <c r="C7" s="88">
        <v>1</v>
      </c>
      <c r="D7" s="88">
        <v>0</v>
      </c>
      <c r="E7" s="88">
        <v>1</v>
      </c>
      <c r="F7" s="88">
        <v>1</v>
      </c>
      <c r="G7" s="88">
        <v>1</v>
      </c>
      <c r="H7" s="88">
        <v>1</v>
      </c>
      <c r="I7" s="88">
        <v>2</v>
      </c>
      <c r="J7" s="88">
        <v>0</v>
      </c>
      <c r="K7" s="88">
        <v>0</v>
      </c>
      <c r="L7" s="88">
        <v>1</v>
      </c>
      <c r="M7" s="88">
        <v>1</v>
      </c>
      <c r="N7" s="88">
        <v>1</v>
      </c>
      <c r="O7" s="88">
        <v>1</v>
      </c>
      <c r="P7" s="88">
        <v>1</v>
      </c>
      <c r="Q7" s="88">
        <v>1</v>
      </c>
      <c r="R7" s="88">
        <v>2</v>
      </c>
      <c r="S7" s="88">
        <v>1</v>
      </c>
      <c r="T7" s="88">
        <f>=SUM(B7:S7)-18</f>
        <v>0</v>
      </c>
      <c r="U7" s="89">
        <v>0</v>
      </c>
      <c r="V7" s="89">
        <f>=SUM(T7:U7)</f>
        <v>0</v>
      </c>
    </row>
    <row r="8" spans="1:22">
      <c r="A8" s="86" t="s">
        <v>115</v>
      </c>
      <c r="B8" s="88">
        <v>1</v>
      </c>
      <c r="C8" s="88">
        <v>1</v>
      </c>
      <c r="D8" s="88">
        <v>0</v>
      </c>
      <c r="E8" s="88">
        <v>1</v>
      </c>
      <c r="F8" s="88">
        <v>2</v>
      </c>
      <c r="G8" s="88">
        <v>2</v>
      </c>
      <c r="H8" s="88">
        <v>1</v>
      </c>
      <c r="I8" s="88">
        <v>1</v>
      </c>
      <c r="J8" s="88">
        <v>0</v>
      </c>
      <c r="K8" s="88">
        <v>1</v>
      </c>
      <c r="L8" s="88">
        <v>1</v>
      </c>
      <c r="M8" s="88">
        <v>1</v>
      </c>
      <c r="N8" s="88">
        <v>1</v>
      </c>
      <c r="O8" s="88">
        <v>1</v>
      </c>
      <c r="P8" s="88">
        <v>1</v>
      </c>
      <c r="Q8" s="88">
        <v>1</v>
      </c>
      <c r="R8" s="88">
        <v>1</v>
      </c>
      <c r="S8" s="88">
        <v>1</v>
      </c>
      <c r="T8" s="88">
        <f>=SUM(B8:S8)-18</f>
        <v>0</v>
      </c>
      <c r="U8" s="89">
        <v>0</v>
      </c>
      <c r="V8" s="89">
        <f>=SUM(T8:U8)</f>
        <v>0</v>
      </c>
    </row>
    <row r="9" spans="1:22">
      <c r="A9" s="86" t="s">
        <v>41</v>
      </c>
      <c r="B9" s="88">
        <v>0</v>
      </c>
      <c r="C9" s="88">
        <v>1</v>
      </c>
      <c r="D9" s="88">
        <v>2</v>
      </c>
      <c r="E9" s="88">
        <v>1</v>
      </c>
      <c r="F9" s="88">
        <v>1</v>
      </c>
      <c r="G9" s="88">
        <v>1</v>
      </c>
      <c r="H9" s="88">
        <v>1</v>
      </c>
      <c r="I9" s="88">
        <v>2</v>
      </c>
      <c r="J9" s="88">
        <v>0</v>
      </c>
      <c r="K9" s="88">
        <v>2</v>
      </c>
      <c r="L9" s="88">
        <v>1</v>
      </c>
      <c r="M9" s="88">
        <v>1</v>
      </c>
      <c r="N9" s="88">
        <v>1</v>
      </c>
      <c r="O9" s="88">
        <v>1</v>
      </c>
      <c r="P9" s="88">
        <v>2</v>
      </c>
      <c r="Q9" s="88">
        <v>1</v>
      </c>
      <c r="R9" s="88">
        <v>0</v>
      </c>
      <c r="S9" s="88">
        <v>1</v>
      </c>
      <c r="T9" s="88">
        <f>=SUM(B9:S9)-18</f>
        <v>1</v>
      </c>
      <c r="U9" s="89">
        <v>-1</v>
      </c>
      <c r="V9" s="89">
        <f>=SUM(T9:U9)</f>
        <v>0</v>
      </c>
    </row>
    <row r="10" spans="1:22">
      <c r="A10" s="86" t="s">
        <v>427</v>
      </c>
      <c r="B10" s="88">
        <v>1</v>
      </c>
      <c r="C10" s="88">
        <v>2</v>
      </c>
      <c r="D10" s="88">
        <v>0</v>
      </c>
      <c r="E10" s="88">
        <v>1</v>
      </c>
      <c r="F10" s="88">
        <v>1</v>
      </c>
      <c r="G10" s="88">
        <v>1</v>
      </c>
      <c r="H10" s="88">
        <v>1</v>
      </c>
      <c r="I10" s="88">
        <v>0</v>
      </c>
      <c r="J10" s="88">
        <v>1</v>
      </c>
      <c r="K10" s="88">
        <v>0</v>
      </c>
      <c r="L10" s="88">
        <v>0</v>
      </c>
      <c r="M10" s="88">
        <v>1</v>
      </c>
      <c r="N10" s="88">
        <v>1</v>
      </c>
      <c r="O10" s="88">
        <v>1</v>
      </c>
      <c r="P10" s="88">
        <v>2</v>
      </c>
      <c r="Q10" s="88">
        <v>1</v>
      </c>
      <c r="R10" s="88">
        <v>1</v>
      </c>
      <c r="S10" s="88">
        <v>1</v>
      </c>
      <c r="T10" s="88">
        <f>=SUM(B10:S10)-18</f>
        <v>-2</v>
      </c>
      <c r="U10" s="89">
        <v>2</v>
      </c>
      <c r="V10" s="89">
        <f>=SUM(T10:U10)</f>
        <v>0</v>
      </c>
    </row>
    <row r="11" spans="1:22">
      <c r="A11" s="86" t="s">
        <v>248</v>
      </c>
      <c r="B11" s="88">
        <v>1</v>
      </c>
      <c r="C11" s="88">
        <v>1</v>
      </c>
      <c r="D11" s="88">
        <v>2</v>
      </c>
      <c r="E11" s="88">
        <v>1</v>
      </c>
      <c r="F11" s="88">
        <v>1</v>
      </c>
      <c r="G11" s="88">
        <v>0</v>
      </c>
      <c r="H11" s="88">
        <v>1</v>
      </c>
      <c r="I11" s="88">
        <v>0</v>
      </c>
      <c r="J11" s="88">
        <v>1</v>
      </c>
      <c r="K11" s="88">
        <v>1</v>
      </c>
      <c r="L11" s="88">
        <v>1</v>
      </c>
      <c r="M11" s="88">
        <v>0</v>
      </c>
      <c r="N11" s="88">
        <v>1</v>
      </c>
      <c r="O11" s="88">
        <v>1</v>
      </c>
      <c r="P11" s="88">
        <v>1</v>
      </c>
      <c r="Q11" s="88">
        <v>2</v>
      </c>
      <c r="R11" s="88">
        <v>0</v>
      </c>
      <c r="S11" s="88">
        <v>1</v>
      </c>
      <c r="T11" s="88">
        <f>=SUM(B11:S11)-18</f>
        <v>-2</v>
      </c>
      <c r="U11" s="89">
        <v>2</v>
      </c>
      <c r="V11" s="89">
        <f>=SUM(T11:U11)</f>
        <v>0</v>
      </c>
    </row>
    <row r="12" spans="1:22">
      <c r="A12" s="86" t="s">
        <v>65</v>
      </c>
      <c r="B12" s="88">
        <v>1</v>
      </c>
      <c r="C12" s="88">
        <v>1</v>
      </c>
      <c r="D12" s="88">
        <v>2</v>
      </c>
      <c r="E12" s="88">
        <v>1</v>
      </c>
      <c r="F12" s="88">
        <v>1</v>
      </c>
      <c r="G12" s="88">
        <v>1</v>
      </c>
      <c r="H12" s="88">
        <v>1</v>
      </c>
      <c r="I12" s="88">
        <v>0</v>
      </c>
      <c r="J12" s="88">
        <v>1</v>
      </c>
      <c r="K12" s="88">
        <v>0</v>
      </c>
      <c r="L12" s="88">
        <v>0</v>
      </c>
      <c r="M12" s="88">
        <v>1</v>
      </c>
      <c r="N12" s="88">
        <v>2</v>
      </c>
      <c r="O12" s="88">
        <v>2</v>
      </c>
      <c r="P12" s="88">
        <v>1</v>
      </c>
      <c r="Q12" s="88">
        <v>1</v>
      </c>
      <c r="R12" s="88">
        <v>0</v>
      </c>
      <c r="S12" s="88">
        <v>1</v>
      </c>
      <c r="T12" s="88">
        <f>=SUM(B12:S12)-18</f>
        <v>-1</v>
      </c>
      <c r="U12" s="89">
        <v>1</v>
      </c>
      <c r="V12" s="89">
        <f>=SUM(T12:U12)</f>
        <v>0</v>
      </c>
    </row>
    <row r="13" spans="1:22">
      <c r="A13" s="86" t="s">
        <v>350</v>
      </c>
      <c r="B13" s="88">
        <v>1</v>
      </c>
      <c r="C13" s="88">
        <v>1</v>
      </c>
      <c r="D13" s="88">
        <v>1</v>
      </c>
      <c r="E13" s="88">
        <v>1</v>
      </c>
      <c r="F13" s="88">
        <v>2</v>
      </c>
      <c r="G13" s="88">
        <v>0</v>
      </c>
      <c r="H13" s="88">
        <v>2</v>
      </c>
      <c r="I13" s="88">
        <v>2</v>
      </c>
      <c r="J13" s="88">
        <v>2</v>
      </c>
      <c r="K13" s="88">
        <v>1</v>
      </c>
      <c r="L13" s="88">
        <v>1</v>
      </c>
      <c r="M13" s="88">
        <v>0</v>
      </c>
      <c r="N13" s="88">
        <v>0</v>
      </c>
      <c r="O13" s="88">
        <v>1</v>
      </c>
      <c r="P13" s="88">
        <v>0</v>
      </c>
      <c r="Q13" s="88">
        <v>0</v>
      </c>
      <c r="R13" s="88">
        <v>2</v>
      </c>
      <c r="S13" s="88">
        <v>0</v>
      </c>
      <c r="T13" s="88">
        <f>=SUM(B13:S13)-18</f>
        <v>-1</v>
      </c>
      <c r="U13" s="89">
        <v>0</v>
      </c>
      <c r="V13" s="89">
        <f>=SUM(T13:U13)</f>
        <v>-1</v>
      </c>
    </row>
    <row r="14" spans="1:22">
      <c r="A14" s="86" t="s">
        <v>120</v>
      </c>
      <c r="B14" s="88">
        <v>0</v>
      </c>
      <c r="C14" s="88">
        <v>1</v>
      </c>
      <c r="D14" s="88">
        <v>1</v>
      </c>
      <c r="E14" s="88">
        <v>1</v>
      </c>
      <c r="F14" s="88">
        <v>2</v>
      </c>
      <c r="G14" s="88">
        <v>1</v>
      </c>
      <c r="H14" s="88">
        <v>1</v>
      </c>
      <c r="I14" s="88">
        <v>1</v>
      </c>
      <c r="J14" s="88">
        <v>1</v>
      </c>
      <c r="K14" s="88">
        <v>2</v>
      </c>
      <c r="L14" s="88">
        <v>1</v>
      </c>
      <c r="M14" s="88">
        <v>0</v>
      </c>
      <c r="N14" s="88">
        <v>1</v>
      </c>
      <c r="O14" s="88">
        <v>2</v>
      </c>
      <c r="P14" s="88">
        <v>1</v>
      </c>
      <c r="Q14" s="88">
        <v>1</v>
      </c>
      <c r="R14" s="88">
        <v>0</v>
      </c>
      <c r="S14" s="88">
        <v>1</v>
      </c>
      <c r="T14" s="88">
        <f>=SUM(B14:S14)-18</f>
        <v>0</v>
      </c>
      <c r="U14" s="89">
        <v>-1</v>
      </c>
      <c r="V14" s="89">
        <f>=SUM(T14:U14)</f>
        <v>-1</v>
      </c>
    </row>
    <row r="15" spans="1:22">
      <c r="A15" s="86" t="s">
        <v>130</v>
      </c>
      <c r="B15" s="88">
        <v>1</v>
      </c>
      <c r="C15" s="88">
        <v>1</v>
      </c>
      <c r="D15" s="88">
        <v>1</v>
      </c>
      <c r="E15" s="88">
        <v>0</v>
      </c>
      <c r="F15" s="88">
        <v>1</v>
      </c>
      <c r="G15" s="88">
        <v>1</v>
      </c>
      <c r="H15" s="88">
        <v>1</v>
      </c>
      <c r="I15" s="88">
        <v>1</v>
      </c>
      <c r="J15" s="88">
        <v>1</v>
      </c>
      <c r="K15" s="88">
        <v>1</v>
      </c>
      <c r="L15" s="88">
        <v>1</v>
      </c>
      <c r="M15" s="88">
        <v>2</v>
      </c>
      <c r="N15" s="88">
        <v>1</v>
      </c>
      <c r="O15" s="88">
        <v>2</v>
      </c>
      <c r="P15" s="88">
        <v>1</v>
      </c>
      <c r="Q15" s="88">
        <v>1</v>
      </c>
      <c r="R15" s="88">
        <v>0</v>
      </c>
      <c r="S15" s="88">
        <v>0</v>
      </c>
      <c r="T15" s="88">
        <f>=SUM(B15:S15)-18</f>
        <v>-1</v>
      </c>
      <c r="U15" s="89">
        <v>0</v>
      </c>
      <c r="V15" s="89">
        <f>=SUM(T15:U15)</f>
        <v>-1</v>
      </c>
    </row>
    <row r="16" spans="1:22">
      <c r="A16" s="86" t="s">
        <v>1327</v>
      </c>
      <c r="B16" s="88">
        <v>1</v>
      </c>
      <c r="C16" s="88">
        <v>1</v>
      </c>
      <c r="D16" s="88">
        <v>1</v>
      </c>
      <c r="E16" s="88">
        <v>0</v>
      </c>
      <c r="F16" s="88">
        <v>0</v>
      </c>
      <c r="G16" s="88">
        <v>2</v>
      </c>
      <c r="H16" s="88">
        <v>1</v>
      </c>
      <c r="I16" s="88">
        <v>1</v>
      </c>
      <c r="J16" s="88">
        <v>1</v>
      </c>
      <c r="K16" s="88">
        <v>1</v>
      </c>
      <c r="L16" s="88">
        <v>1</v>
      </c>
      <c r="M16" s="88">
        <v>2</v>
      </c>
      <c r="N16" s="88">
        <v>1</v>
      </c>
      <c r="O16" s="88">
        <v>0</v>
      </c>
      <c r="P16" s="88">
        <v>1</v>
      </c>
      <c r="Q16" s="88">
        <v>2</v>
      </c>
      <c r="R16" s="88">
        <v>1</v>
      </c>
      <c r="S16" s="88">
        <v>1</v>
      </c>
      <c r="T16" s="88">
        <f>=SUM(B16:S16)-18</f>
        <v>0</v>
      </c>
      <c r="U16" s="89">
        <v>-2</v>
      </c>
      <c r="V16" s="89">
        <f>=SUM(T16:U16)</f>
        <v>-2</v>
      </c>
    </row>
    <row r="17" spans="1:22">
      <c r="A17" s="86" t="s">
        <v>1329</v>
      </c>
      <c r="B17" s="88">
        <v>1</v>
      </c>
      <c r="C17" s="88">
        <v>1</v>
      </c>
      <c r="D17" s="88">
        <v>1</v>
      </c>
      <c r="E17" s="88">
        <v>1</v>
      </c>
      <c r="F17" s="88">
        <v>1</v>
      </c>
      <c r="G17" s="88">
        <v>0</v>
      </c>
      <c r="H17" s="88">
        <v>1</v>
      </c>
      <c r="I17" s="88">
        <v>0</v>
      </c>
      <c r="J17" s="88">
        <v>1</v>
      </c>
      <c r="K17" s="88">
        <v>1</v>
      </c>
      <c r="L17" s="88">
        <v>1</v>
      </c>
      <c r="M17" s="88">
        <v>1</v>
      </c>
      <c r="N17" s="88">
        <v>1</v>
      </c>
      <c r="O17" s="88">
        <v>1</v>
      </c>
      <c r="P17" s="88">
        <v>1</v>
      </c>
      <c r="Q17" s="88">
        <v>1</v>
      </c>
      <c r="R17" s="88">
        <v>0</v>
      </c>
      <c r="S17" s="88">
        <v>1</v>
      </c>
      <c r="T17" s="88">
        <f>=SUM(B17:S17)-18</f>
        <v>-3</v>
      </c>
      <c r="U17" s="89">
        <v>0</v>
      </c>
      <c r="V17" s="89">
        <f>=SUM(T17:U17)</f>
        <v>-3</v>
      </c>
    </row>
    <row r="18" spans="1:22">
      <c r="A18" s="86" t="s">
        <v>360</v>
      </c>
      <c r="B18" s="88">
        <v>0</v>
      </c>
      <c r="C18" s="88">
        <v>2</v>
      </c>
      <c r="D18" s="88">
        <v>1</v>
      </c>
      <c r="E18" s="88">
        <v>2</v>
      </c>
      <c r="F18" s="88">
        <v>1</v>
      </c>
      <c r="G18" s="88">
        <v>1</v>
      </c>
      <c r="H18" s="88">
        <v>1</v>
      </c>
      <c r="I18" s="88">
        <v>2</v>
      </c>
      <c r="J18" s="88">
        <v>1</v>
      </c>
      <c r="K18" s="88">
        <v>0</v>
      </c>
      <c r="L18" s="88">
        <v>1</v>
      </c>
      <c r="M18" s="88">
        <v>0</v>
      </c>
      <c r="N18" s="88">
        <v>0</v>
      </c>
      <c r="O18" s="88">
        <v>1</v>
      </c>
      <c r="P18" s="88">
        <v>0</v>
      </c>
      <c r="Q18" s="88">
        <v>1</v>
      </c>
      <c r="R18" s="88">
        <v>0</v>
      </c>
      <c r="S18" s="88">
        <v>1</v>
      </c>
      <c r="T18" s="88">
        <f>=SUM(B18:S18)-18</f>
        <v>-3</v>
      </c>
      <c r="U18" s="89">
        <v>-1</v>
      </c>
      <c r="V18" s="89">
        <f>=SUM(T18:U18)</f>
        <v>-4</v>
      </c>
    </row>
    <row r="19" spans="1:22">
      <c r="A19" s="86" t="s">
        <v>572</v>
      </c>
      <c r="B19" s="88">
        <v>0</v>
      </c>
      <c r="C19" s="88">
        <v>1</v>
      </c>
      <c r="D19" s="88">
        <v>2</v>
      </c>
      <c r="E19" s="88">
        <v>1</v>
      </c>
      <c r="F19" s="88">
        <v>2</v>
      </c>
      <c r="G19" s="88">
        <v>0</v>
      </c>
      <c r="H19" s="88">
        <v>1</v>
      </c>
      <c r="I19" s="88">
        <v>1</v>
      </c>
      <c r="J19" s="88">
        <v>1</v>
      </c>
      <c r="K19" s="88">
        <v>1</v>
      </c>
      <c r="L19" s="88">
        <v>1</v>
      </c>
      <c r="M19" s="88">
        <v>0</v>
      </c>
      <c r="N19" s="88">
        <v>1</v>
      </c>
      <c r="O19" s="88">
        <v>0</v>
      </c>
      <c r="P19" s="88">
        <v>0</v>
      </c>
      <c r="Q19" s="88">
        <v>0</v>
      </c>
      <c r="R19" s="88">
        <v>0</v>
      </c>
      <c r="S19" s="88">
        <v>2</v>
      </c>
      <c r="T19" s="88">
        <f>=SUM(B19:S19)-18</f>
        <v>-4</v>
      </c>
      <c r="U19" s="89">
        <v>0</v>
      </c>
      <c r="V19" s="89">
        <f>=SUM(T19:U19)</f>
        <v>-4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2026-04-30T10:07:09Z</dcterms:created>
  <dcterms:modified xsi:type="dcterms:W3CDTF">2026-04-30T10:07:09Z</dcterms:modified>
</cp:coreProperties>
</file>