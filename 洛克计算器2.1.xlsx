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127E6393-8165-4FEB-A763-B5986318D9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计算器" sheetId="9" r:id="rId1"/>
    <sheet name="自查速度线" sheetId="12" r:id="rId2"/>
    <sheet name="速度线" sheetId="11" r:id="rId3"/>
    <sheet name="属性克制表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9" l="1"/>
  <c r="K22" i="9"/>
  <c r="K21" i="9"/>
  <c r="F21" i="9"/>
  <c r="F22" i="9"/>
  <c r="B17" i="9"/>
  <c r="C17" i="9" s="1"/>
  <c r="B16" i="9"/>
  <c r="C16" i="9" s="1"/>
  <c r="E16" i="9"/>
  <c r="P20" i="9"/>
  <c r="O20" i="9"/>
  <c r="N20" i="9"/>
  <c r="D59" i="12"/>
  <c r="D60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61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2" i="12"/>
  <c r="D21" i="12"/>
  <c r="D20" i="12"/>
  <c r="D19" i="12"/>
  <c r="D18" i="12"/>
  <c r="D17" i="12"/>
  <c r="D15" i="12"/>
  <c r="D14" i="12"/>
  <c r="D13" i="12"/>
  <c r="D12" i="12"/>
  <c r="D9" i="12"/>
  <c r="D8" i="12"/>
  <c r="D4" i="12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3" i="11"/>
  <c r="D22" i="11"/>
  <c r="D21" i="11"/>
  <c r="D20" i="11"/>
  <c r="D19" i="11"/>
  <c r="D18" i="11"/>
  <c r="D16" i="11"/>
  <c r="D15" i="11"/>
  <c r="D14" i="11"/>
  <c r="D13" i="11"/>
  <c r="D10" i="11"/>
  <c r="D9" i="11"/>
  <c r="D5" i="11"/>
  <c r="D16" i="9"/>
  <c r="P22" i="9"/>
  <c r="P21" i="9"/>
  <c r="O22" i="9"/>
  <c r="O21" i="9"/>
  <c r="N22" i="9"/>
  <c r="N21" i="9"/>
  <c r="G7" i="9"/>
  <c r="L7" i="9" s="1"/>
  <c r="G6" i="9"/>
  <c r="L6" i="9" s="1"/>
  <c r="G5" i="9"/>
  <c r="L5" i="9" s="1"/>
  <c r="A17" i="9" s="1"/>
  <c r="G4" i="9"/>
  <c r="L4" i="9" s="1"/>
  <c r="A9" i="9"/>
  <c r="F9" i="9" s="1"/>
  <c r="A8" i="9"/>
  <c r="F8" i="9" s="1"/>
  <c r="A7" i="9"/>
  <c r="F7" i="9" s="1"/>
  <c r="A6" i="9"/>
  <c r="F6" i="9" s="1"/>
  <c r="A5" i="9"/>
  <c r="A4" i="9"/>
  <c r="F4" i="9" s="1"/>
  <c r="G16" i="9" l="1"/>
  <c r="G15" i="9" s="1"/>
  <c r="I15" i="9" s="1"/>
  <c r="E22" i="9"/>
  <c r="H21" i="9"/>
  <c r="M22" i="9"/>
  <c r="J21" i="9"/>
  <c r="M21" i="9"/>
  <c r="F5" i="9"/>
  <c r="A16" i="9" s="1"/>
  <c r="C22" i="9"/>
  <c r="H22" i="9"/>
  <c r="I21" i="9"/>
  <c r="I22" i="9"/>
  <c r="J22" i="9"/>
  <c r="C21" i="9"/>
  <c r="D21" i="9"/>
  <c r="D22" i="9"/>
  <c r="E21" i="9"/>
  <c r="J16" i="9" l="1"/>
  <c r="J15" i="9" s="1"/>
  <c r="L15" i="9" s="1"/>
  <c r="K1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F98BCB36-05F9-46B6-B3AB-3629F0E24DC3}">
      <text>
        <r>
          <rPr>
            <sz val="9"/>
            <color indexed="81"/>
            <rFont val="宋体"/>
            <family val="3"/>
            <charset val="134"/>
          </rPr>
          <t>diy时切记先将所有文字颜色改为黑色</t>
        </r>
      </text>
    </comment>
    <comment ref="F4" authorId="0" shapeId="0" xr:uid="{BBE6B4AB-3B10-41EF-8950-7CD530A18BD8}">
      <text>
        <r>
          <rPr>
            <b/>
            <sz val="9"/>
            <color indexed="81"/>
            <rFont val="宋体"/>
            <family val="3"/>
            <charset val="134"/>
          </rPr>
          <t>分步四舍五入法</t>
        </r>
      </text>
    </comment>
    <comment ref="H9" authorId="0" shapeId="0" xr:uid="{F5B04647-D003-4238-8AFC-56541C99CEE2}">
      <text>
        <r>
          <rPr>
            <sz val="9"/>
            <color indexed="81"/>
            <rFont val="宋体"/>
            <family val="3"/>
            <charset val="134"/>
          </rPr>
          <t>增益就写正数，减益就写负数</t>
        </r>
      </text>
    </comment>
    <comment ref="D14" authorId="0" shapeId="0" xr:uid="{80FA70D4-0DA0-4AE2-A2CC-70AAC6C017B8}">
      <text>
        <r>
          <rPr>
            <sz val="9"/>
            <color indexed="81"/>
            <rFont val="宋体"/>
            <family val="3"/>
            <charset val="134"/>
          </rPr>
          <t>使用的技能属性与精灵任一属性相同时，就会有本系加成(若血脉与原属性相同，愿力冲击也有加成)</t>
        </r>
      </text>
    </comment>
    <comment ref="G14" authorId="0" shapeId="0" xr:uid="{43F5EFA9-A12B-4988-84F4-AF1D9AE3BF9C}">
      <text>
        <r>
          <rPr>
            <b/>
            <sz val="9"/>
            <color indexed="81"/>
            <rFont val="宋体"/>
            <family val="3"/>
            <charset val="134"/>
          </rPr>
          <t>恶魔叮:向下取整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14" authorId="0" shapeId="0" xr:uid="{34E08F23-8D90-46B2-AD9A-039C4294A765}">
      <text>
        <r>
          <rPr>
            <b/>
            <sz val="9"/>
            <color indexed="81"/>
            <rFont val="宋体"/>
            <family val="3"/>
            <charset val="134"/>
          </rPr>
          <t>向上取整</t>
        </r>
      </text>
    </comment>
    <comment ref="K14" authorId="0" shapeId="0" xr:uid="{2DEC7B1B-FAA4-4D9C-A0A2-05C07CC9FA82}">
      <text>
        <r>
          <rPr>
            <sz val="9"/>
            <color indexed="81"/>
            <rFont val="宋体"/>
            <family val="3"/>
            <charset val="134"/>
          </rPr>
          <t>仅做显示使用
实际战斗中，剩余血量百分比向上取整
扣减血量的百分比根据剩余血量倒推，
仅一次受伤时，可视为向下取整</t>
        </r>
      </text>
    </comment>
    <comment ref="B18" authorId="0" shapeId="0" xr:uid="{BC6906D9-D6AE-447E-BD76-E98A612C062C}">
      <text>
        <r>
          <rPr>
            <sz val="9"/>
            <color indexed="81"/>
            <rFont val="宋体"/>
            <family val="3"/>
            <charset val="134"/>
          </rPr>
          <t>评价一个精灵有多肉，实际上是在问它能抗某个技能多少下。那么公式大致为 hp/伤害=hp/（攻击/防御）=（hp*防御）/攻击，攻击无法改变，所以我们用（hp*防御）来衡量一只精灵的坦度。这就是综合耐久，比单纯地看hp或防御更客观。</t>
        </r>
      </text>
    </comment>
    <comment ref="B19" authorId="0" shapeId="0" xr:uid="{F0E9B8D7-4606-46F1-A3C0-CB407B106611}">
      <text>
        <r>
          <rPr>
            <sz val="9"/>
            <color indexed="81"/>
            <rFont val="宋体"/>
            <family val="3"/>
            <charset val="134"/>
          </rPr>
          <t>对于速攻手来说，只剩下一项个体可自由选择。下方列出了选择某项个体后的综合耐久，供你对比后选择。</t>
        </r>
      </text>
    </comment>
    <comment ref="G19" authorId="0" shapeId="0" xr:uid="{D3A25302-64D2-4AAA-B389-1F63A3C17158}">
      <text>
        <r>
          <rPr>
            <sz val="9"/>
            <color indexed="81"/>
            <rFont val="宋体"/>
            <family val="3"/>
            <charset val="134"/>
          </rPr>
          <t>对于肉盾来说，三项个体均为耐久的情况下，性格是选择加生命还是加某一项防御？下方列出了选择某项性格加成后的综合耐久，供你对比后选择。</t>
        </r>
      </text>
    </comment>
    <comment ref="L19" authorId="0" shapeId="0" xr:uid="{83C96826-87AA-4FF7-AE27-A6BC9CA88EA0}">
      <text>
        <r>
          <rPr>
            <sz val="9"/>
            <color indexed="81"/>
            <rFont val="宋体"/>
            <family val="3"/>
            <charset val="134"/>
          </rPr>
          <t>与各项资质情况实时相关</t>
        </r>
      </text>
    </comment>
    <comment ref="C26" authorId="0" shapeId="0" xr:uid="{8846E762-9DA6-45C9-9F14-8F494F89F0CF}">
      <text>
        <r>
          <rPr>
            <b/>
            <sz val="9"/>
            <color indexed="81"/>
            <rFont val="宋体"/>
            <family val="3"/>
            <charset val="134"/>
          </rPr>
          <t>浮点误差导致的，恶魔叮也不知道怎么解决</t>
        </r>
      </text>
    </comment>
  </commentList>
</comments>
</file>

<file path=xl/sharedStrings.xml><?xml version="1.0" encoding="utf-8"?>
<sst xmlns="http://schemas.openxmlformats.org/spreadsheetml/2006/main" count="390" uniqueCount="148">
  <si>
    <t>种族值</t>
    <phoneticPr fontId="1" type="noConversion"/>
  </si>
  <si>
    <t>生命</t>
    <phoneticPr fontId="1" type="noConversion"/>
  </si>
  <si>
    <t>1.2生命</t>
    <phoneticPr fontId="1" type="noConversion"/>
  </si>
  <si>
    <t>物攻</t>
    <phoneticPr fontId="1" type="noConversion"/>
  </si>
  <si>
    <t>魔攻</t>
    <phoneticPr fontId="1" type="noConversion"/>
  </si>
  <si>
    <t>物防</t>
    <phoneticPr fontId="1" type="noConversion"/>
  </si>
  <si>
    <t>魔防</t>
    <phoneticPr fontId="1" type="noConversion"/>
  </si>
  <si>
    <t>速度</t>
    <phoneticPr fontId="1" type="noConversion"/>
  </si>
  <si>
    <t>1.2物防</t>
    <phoneticPr fontId="1" type="noConversion"/>
  </si>
  <si>
    <t>1.2魔防</t>
    <phoneticPr fontId="1" type="noConversion"/>
  </si>
  <si>
    <t>能力值</t>
    <phoneticPr fontId="1" type="noConversion"/>
  </si>
  <si>
    <t>无</t>
  </si>
  <si>
    <t>伤害计算</t>
    <phoneticPr fontId="1" type="noConversion"/>
  </si>
  <si>
    <t>百分制%</t>
    <phoneticPr fontId="1" type="noConversion"/>
  </si>
  <si>
    <t>几次击杀</t>
    <phoneticPr fontId="1" type="noConversion"/>
  </si>
  <si>
    <t>分类</t>
    <phoneticPr fontId="1" type="noConversion"/>
  </si>
  <si>
    <t>性格</t>
    <phoneticPr fontId="1" type="noConversion"/>
  </si>
  <si>
    <t>迪莫</t>
    <phoneticPr fontId="1" type="noConversion"/>
  </si>
  <si>
    <t>个体值</t>
    <phoneticPr fontId="1" type="noConversion"/>
  </si>
  <si>
    <t>其他</t>
    <phoneticPr fontId="1" type="noConversion"/>
  </si>
  <si>
    <t>10生命</t>
    <phoneticPr fontId="1" type="noConversion"/>
  </si>
  <si>
    <t>显示威力</t>
    <phoneticPr fontId="1" type="noConversion"/>
  </si>
  <si>
    <t>精灵资质</t>
    <phoneticPr fontId="1" type="noConversion"/>
  </si>
  <si>
    <t>物理</t>
    <phoneticPr fontId="1" type="noConversion"/>
  </si>
  <si>
    <t>魔法</t>
    <phoneticPr fontId="1" type="noConversion"/>
  </si>
  <si>
    <t>综合耐久（生命*防御）对比</t>
    <phoneticPr fontId="1" type="noConversion"/>
  </si>
  <si>
    <t>本系加成</t>
    <phoneticPr fontId="1" type="noConversion"/>
  </si>
  <si>
    <t>原始威力</t>
    <phoneticPr fontId="1" type="noConversion"/>
  </si>
  <si>
    <t>技能类型</t>
    <phoneticPr fontId="1" type="noConversion"/>
  </si>
  <si>
    <t>属性克制</t>
    <phoneticPr fontId="1" type="noConversion"/>
  </si>
  <si>
    <t>实际威力</t>
    <phoneticPr fontId="1" type="noConversion"/>
  </si>
  <si>
    <t>连击数</t>
    <phoneticPr fontId="1" type="noConversion"/>
  </si>
  <si>
    <t>零</t>
    <phoneticPr fontId="1" type="noConversion"/>
  </si>
  <si>
    <t>满</t>
    <phoneticPr fontId="1" type="noConversion"/>
  </si>
  <si>
    <t>极</t>
    <phoneticPr fontId="1" type="noConversion"/>
  </si>
  <si>
    <t>10物防</t>
    <phoneticPr fontId="1" type="noConversion"/>
  </si>
  <si>
    <t>10魔防</t>
    <phoneticPr fontId="1" type="noConversion"/>
  </si>
  <si>
    <t>技能详情</t>
    <phoneticPr fontId="1" type="noConversion"/>
  </si>
  <si>
    <t>作者：bilibili爱心尾巴</t>
    <phoneticPr fontId="1" type="noConversion"/>
  </si>
  <si>
    <t>序号</t>
    <phoneticPr fontId="1" type="noConversion"/>
  </si>
  <si>
    <t>已知bug</t>
    <phoneticPr fontId="1" type="noConversion"/>
  </si>
  <si>
    <t>靶子资质</t>
    <phoneticPr fontId="1" type="noConversion"/>
  </si>
  <si>
    <t>恶魔叮</t>
    <phoneticPr fontId="1" type="noConversion"/>
  </si>
  <si>
    <t>S1速度线(优化版)</t>
    <phoneticPr fontId="1" type="noConversion"/>
  </si>
  <si>
    <t>种族</t>
    <phoneticPr fontId="1" type="noConversion"/>
  </si>
  <si>
    <t>个体</t>
    <phoneticPr fontId="1" type="noConversion"/>
  </si>
  <si>
    <t>精灵</t>
    <phoneticPr fontId="1" type="noConversion"/>
  </si>
  <si>
    <t>兽花蕾+100</t>
    <phoneticPr fontId="1" type="noConversion"/>
  </si>
  <si>
    <t>绒光优优+50</t>
    <phoneticPr fontId="1" type="noConversion"/>
  </si>
  <si>
    <t>噼啪鸟</t>
    <phoneticPr fontId="1" type="noConversion"/>
  </si>
  <si>
    <t>黑猫巫师+100</t>
    <phoneticPr fontId="1" type="noConversion"/>
  </si>
  <si>
    <t>白金独角兽+50</t>
    <phoneticPr fontId="1" type="noConversion"/>
  </si>
  <si>
    <t>陨星虫+50</t>
    <phoneticPr fontId="1" type="noConversion"/>
  </si>
  <si>
    <t>魔眷鸟 卡瓦重雪山 厉毒修萝 星光狮</t>
    <phoneticPr fontId="1" type="noConversion"/>
  </si>
  <si>
    <t>落陨星兔 影狸 火神 秩序鱿墨</t>
    <phoneticPr fontId="1" type="noConversion"/>
  </si>
  <si>
    <t>女王蜂*(1+5*15%)</t>
    <phoneticPr fontId="1" type="noConversion"/>
  </si>
  <si>
    <t>皇家狮鹫高山地 圣羽翼王 雅丹鬃 裘卡 棋骑士 暮星辰 龙鱼 酷拉 彩蝶鲨 电球咩咩 星光狮月光 电企鹅</t>
    <phoneticPr fontId="1" type="noConversion"/>
  </si>
  <si>
    <t>咔咔鸟 抹茶布丁 音速犬 椰浆布丁 熔岩布丁 风滚暮虫 恶魔狼 荆棘电环 海枝枝翠绿 画间法师手 上岸蛙 黑羽夫人 爵士鹿</t>
    <phoneticPr fontId="1" type="noConversion"/>
  </si>
  <si>
    <t>恶魔红钻 翼龙 朔夜伊芙 绒光优优 高脚鹬 幽冥眼 流浪鼠 翠顶夫人 兽花蕾 梦悠悠 闪电鳗鱼 食尘短绒 卷毛鸭 斑枭 窃光蚊 雪灵 粉耳星兔 岚鸟 绒仙子</t>
    <phoneticPr fontId="1" type="noConversion"/>
  </si>
  <si>
    <t>绅士鸡 疾光千兽 小皮球 花影羚羊 梦想三三 捕尘长绒 急急鸭 芋香巨角蛛 遁地鼠</t>
    <phoneticPr fontId="1" type="noConversion"/>
  </si>
  <si>
    <t>黑猫巫师+50</t>
    <phoneticPr fontId="1" type="noConversion"/>
  </si>
  <si>
    <t>游蛇魔使 化蝶幽冥眼 叮叮恶魔 春花兔 起来鸭 燃了鸭 圆号鱼 针叶巡林 里拉鳐 鸭吉吉紧实 鸭吉吉 利灯鱼 嘟嘟锅 画间沉铁兽 锤头鹳 白金独角兽 千棘盔磨损 月亮砣</t>
    <phoneticPr fontId="1" type="noConversion"/>
  </si>
  <si>
    <t>寒音蛇 圣代甜甜 帕帕斯卡 陨星虫 燃薪虫 龙息帕尔 千棘盔 花衣蝶 等等鸭 尖嘴狐仙 石冠王蜥球球尾巴 化蝶 海豹船长 公平鸽</t>
    <phoneticPr fontId="1" type="noConversion"/>
  </si>
  <si>
    <t>琉璃水母 巨灵石 武者鸡 白发路路 泥吼牙 古卷执政官 古卷匣魔像 化蝶喵喵 石冠王蜥 怒目怂猫</t>
    <phoneticPr fontId="1" type="noConversion"/>
  </si>
  <si>
    <t xml:space="preserve">声波缇塔 伊兰亚龙 伊贝粉粉 魔草巫灵 化蝶奇丽花 卡洛儿 棋绮后 红绒十字 冰钻布鲁斯 蹦蹦花象牙球 雪影娃娃 古啦多 </t>
    <phoneticPr fontId="1" type="noConversion"/>
  </si>
  <si>
    <t>棋祈督 水灵 巨噬针鼹 仪式巨像 立方人</t>
    <phoneticPr fontId="1" type="noConversion"/>
  </si>
  <si>
    <t>卷胡巨獭 夜枭 迷迷箱怪 水泡壳蜕皮 炽心勇狮 幽影树 蹦床松鼠 奇丽花 月牙雪熊</t>
    <phoneticPr fontId="1" type="noConversion"/>
  </si>
  <si>
    <t>幻影灵菇 棋齐垒 瞌睡王 罗隐 权杖-V 铠甲虫</t>
    <phoneticPr fontId="1" type="noConversion"/>
  </si>
  <si>
    <t>记忆石 九幽菇 混乱鱿彩 布克棱岩 嗜波螺 晶石蜗烧蓝黄金、西瓜碧玺 黑猫巫师</t>
    <phoneticPr fontId="1" type="noConversion"/>
  </si>
  <si>
    <t>蒲公英娃娃 圣剑-X 烈火守护 鳗尾兽</t>
    <phoneticPr fontId="1" type="noConversion"/>
  </si>
  <si>
    <t>寂灭骨龙 菊花梨 雪巨人 火焰猿 怖哭菇 格兰球</t>
    <phoneticPr fontId="1" type="noConversion"/>
  </si>
  <si>
    <t>魔力猫 贝古斯 乌拉塔极昼</t>
    <phoneticPr fontId="1" type="noConversion"/>
  </si>
  <si>
    <t>波多西 乌拉塔极夜 深蓝鲸</t>
    <phoneticPr fontId="1" type="noConversion"/>
  </si>
  <si>
    <t>花魁蜂后</t>
    <phoneticPr fontId="1" type="noConversion"/>
  </si>
  <si>
    <t>女王蜂</t>
    <phoneticPr fontId="1" type="noConversion"/>
  </si>
  <si>
    <t>优化</t>
    <phoneticPr fontId="1" type="noConversion"/>
  </si>
  <si>
    <t>删去非极速的120速及以上</t>
    <phoneticPr fontId="1" type="noConversion"/>
  </si>
  <si>
    <t>删去非极速迪莫</t>
    <phoneticPr fontId="1" type="noConversion"/>
  </si>
  <si>
    <t>删去大部分同种族中较慢的地区形态</t>
    <phoneticPr fontId="1" type="noConversion"/>
  </si>
  <si>
    <t>删去女王蜂之外的首领形态（目前除了女王蜂，其他首领均不改变速度）</t>
    <phoneticPr fontId="1" type="noConversion"/>
  </si>
  <si>
    <t>添加部分特性</t>
    <phoneticPr fontId="1" type="noConversion"/>
  </si>
  <si>
    <t>by爱心尾巴 2026/4/17</t>
    <phoneticPr fontId="1" type="noConversion"/>
  </si>
  <si>
    <t>落陨星兔 影狸 火神 秩序鱿墨 烈火战神</t>
    <phoneticPr fontId="1" type="noConversion"/>
  </si>
  <si>
    <t>花魁蜂后*(1+5*15%)</t>
    <phoneticPr fontId="1" type="noConversion"/>
  </si>
  <si>
    <t>恶魔红钻 翼龙 朔夜伊芙 绒光优优 幽冥眼 流浪鼠 翠顶夫人 兽花蕾 梦悠悠 闪电鳗鱼 食尘短绒 卷毛鸭 斑枭 窃光蚊 雪灵 岚鸟 绒仙子</t>
    <phoneticPr fontId="1" type="noConversion"/>
  </si>
  <si>
    <t>绅士鸡 疾光千兽 小皮球 花影羚羊 梦想三三 捕尘长绒 芋香巨角蛛 遁地鼠</t>
    <phoneticPr fontId="1" type="noConversion"/>
  </si>
  <si>
    <t>游蛇魔使 化蝶幽冥眼 叮叮恶魔 春花兔 圆号鱼 针叶巡林 里拉鳐 利灯鱼 嘟嘟锅 画间沉铁兽 白金独角兽 千棘盔磨损 月亮砣</t>
    <phoneticPr fontId="1" type="noConversion"/>
  </si>
  <si>
    <t>寒音蛇 圣代甜甜 帕帕斯卡 陨星虫 燃薪虫 龙息帕尔 千棘盔 花衣蝶 尖嘴狐仙 石冠王蜥球球尾巴 化蝶 海豹船长 公平鸽</t>
    <phoneticPr fontId="1" type="noConversion"/>
  </si>
  <si>
    <t>声波缇塔 伊兰亚龙 伊贝粉粉 魔草巫灵 化蝶奇丽花 卡洛儿 棋绮后 红绒十字 冰钻布鲁斯 蹦蹦花象牙球 雪影娃娃</t>
    <phoneticPr fontId="1" type="noConversion"/>
  </si>
  <si>
    <t>棋祈督 水灵  巨噬针鼹 仪式巨像 立方人</t>
    <phoneticPr fontId="1" type="noConversion"/>
  </si>
  <si>
    <t>布克棱岩 嗜波螺 晶石蜗烧蓝黄金、西瓜碧玺 黑猫巫师</t>
    <phoneticPr fontId="1" type="noConversion"/>
  </si>
  <si>
    <t>蒲公英娃娃 圣剑-X 鳗尾兽</t>
    <phoneticPr fontId="1" type="noConversion"/>
  </si>
  <si>
    <t>寂灭骨龙 菊花梨 怖哭菇 格兰球</t>
    <phoneticPr fontId="1" type="noConversion"/>
  </si>
  <si>
    <t>魔力猫 贝古斯</t>
    <phoneticPr fontId="1" type="noConversion"/>
  </si>
  <si>
    <t>波多西</t>
    <phoneticPr fontId="1" type="noConversion"/>
  </si>
  <si>
    <t>使用方法:</t>
    <phoneticPr fontId="1" type="noConversion"/>
  </si>
  <si>
    <t>属性
克制表</t>
    <phoneticPr fontId="1" type="noConversion"/>
  </si>
  <si>
    <t>作为防守方</t>
    <phoneticPr fontId="1" type="noConversion"/>
  </si>
  <si>
    <t>普通系</t>
  </si>
  <si>
    <t>草系</t>
  </si>
  <si>
    <t>火系</t>
  </si>
  <si>
    <t>水系</t>
  </si>
  <si>
    <t>光系</t>
  </si>
  <si>
    <t>地系</t>
  </si>
  <si>
    <t>冰系</t>
  </si>
  <si>
    <t>龙系</t>
  </si>
  <si>
    <t>电系</t>
  </si>
  <si>
    <t>毒系</t>
  </si>
  <si>
    <t>虫系</t>
  </si>
  <si>
    <t>武系</t>
  </si>
  <si>
    <t>翼系</t>
  </si>
  <si>
    <t>萌系</t>
  </si>
  <si>
    <t>幽系</t>
  </si>
  <si>
    <t>恶系</t>
  </si>
  <si>
    <t>机械系</t>
  </si>
  <si>
    <t>幻系</t>
  </si>
  <si>
    <t>作
为
进
攻
方</t>
    <phoneticPr fontId="1" type="noConversion"/>
  </si>
  <si>
    <t>1/2x</t>
  </si>
  <si>
    <t>2x</t>
  </si>
  <si>
    <t>1/2x</t>
    <phoneticPr fontId="1" type="noConversion"/>
  </si>
  <si>
    <t>2x</t>
    <phoneticPr fontId="1" type="noConversion"/>
  </si>
  <si>
    <t>个体选择</t>
    <phoneticPr fontId="1" type="noConversion"/>
  </si>
  <si>
    <t>性格选择</t>
    <phoneticPr fontId="1" type="noConversion"/>
  </si>
  <si>
    <t>在红蓝红填写种族值，然后点击“数据”，选中“能力值”列，点击"Z到A"排序，选择“拓展选定区域”，那么两条红线之间就是该精灵的速度区间</t>
    <phoneticPr fontId="1" type="noConversion"/>
  </si>
  <si>
    <t>最终伤害</t>
    <phoneticPr fontId="1" type="noConversion"/>
  </si>
  <si>
    <t>目前</t>
    <phoneticPr fontId="1" type="noConversion"/>
  </si>
  <si>
    <t>实时</t>
    <phoneticPr fontId="1" type="noConversion"/>
  </si>
  <si>
    <t>有</t>
  </si>
  <si>
    <t>物攻</t>
  </si>
  <si>
    <t>1/4倍</t>
  </si>
  <si>
    <t>攻击</t>
    <phoneticPr fontId="1" type="noConversion"/>
  </si>
  <si>
    <t>固定威力</t>
    <phoneticPr fontId="1" type="noConversion"/>
  </si>
  <si>
    <t>防御</t>
    <phoneticPr fontId="1" type="noConversion"/>
  </si>
  <si>
    <t>百分威力</t>
    <phoneticPr fontId="1" type="noConversion"/>
  </si>
  <si>
    <t>无性格加成下，105种族无个体，和84种族7个体，计算器结果会比实际情况大1</t>
    <phoneticPr fontId="1" type="noConversion"/>
  </si>
  <si>
    <t>翻译</t>
    <phoneticPr fontId="1" type="noConversion"/>
  </si>
  <si>
    <t>添加了84种族7个体的浮点bug说明</t>
    <phoneticPr fontId="1" type="noConversion"/>
  </si>
  <si>
    <t>属性克制中的1/3改为了1/4</t>
    <phoneticPr fontId="1" type="noConversion"/>
  </si>
  <si>
    <t>添加了耐久个体性格选择的“翻译”</t>
    <phoneticPr fontId="1" type="noConversion"/>
  </si>
  <si>
    <t>添加并优化了增减益计算</t>
    <phoneticPr fontId="1" type="noConversion"/>
  </si>
  <si>
    <t>修正了“几次击杀”的选值错误</t>
    <phoneticPr fontId="1" type="noConversion"/>
  </si>
  <si>
    <t>2.1更新日志</t>
    <phoneticPr fontId="1" type="noConversion"/>
  </si>
  <si>
    <t>2026.4.24</t>
    <phoneticPr fontId="1" type="noConversion"/>
  </si>
  <si>
    <t>进攻端增减益</t>
    <phoneticPr fontId="1" type="noConversion"/>
  </si>
  <si>
    <t>防守端增减益</t>
    <phoneticPr fontId="1" type="noConversion"/>
  </si>
  <si>
    <t>星陨层数</t>
    <phoneticPr fontId="1" type="noConversion"/>
  </si>
  <si>
    <t>等效威力</t>
    <phoneticPr fontId="1" type="noConversion"/>
  </si>
  <si>
    <t>添加星陨等效威力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</si>
</sst>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2" tint="-9.9978637043366805E-2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sz val="1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rgb="FFD3D3D3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theme="0"/>
        <bgColor rgb="FFFFB6C1"/>
      </patternFill>
    </fill>
    <fill>
      <patternFill patternType="solid">
        <fgColor theme="0"/>
        <bgColor rgb="FF90EE9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3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2" fontId="3" fillId="3" borderId="6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2" fontId="3" fillId="0" borderId="0" xfId="0" applyNumberFormat="1" applyFont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/>
    </xf>
    <xf numFmtId="0" fontId="0" fillId="3" borderId="6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10" borderId="9" xfId="0" applyFont="1" applyFill="1" applyBorder="1" applyAlignment="1">
      <alignment horizontal="left"/>
    </xf>
    <xf numFmtId="0" fontId="0" fillId="8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6" fillId="3" borderId="9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right" vertical="center"/>
    </xf>
    <xf numFmtId="0" fontId="0" fillId="11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0" xfId="0" applyFill="1"/>
    <xf numFmtId="0" fontId="7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/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77777"/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12DA-108E-4B1A-A35A-EADD123F1CA9}">
  <dimension ref="A1:AE40"/>
  <sheetViews>
    <sheetView tabSelected="1" zoomScale="145" zoomScaleNormal="145" workbookViewId="0">
      <selection activeCell="R18" sqref="R18"/>
    </sheetView>
  </sheetViews>
  <sheetFormatPr defaultRowHeight="13.8" x14ac:dyDescent="0.25"/>
  <cols>
    <col min="1" max="2" width="8.88671875" style="8"/>
    <col min="3" max="6" width="8.88671875" style="8" customWidth="1"/>
    <col min="7" max="7" width="8.88671875" style="8"/>
    <col min="8" max="13" width="8.88671875" style="8" customWidth="1"/>
    <col min="14" max="14" width="8.88671875" style="8"/>
    <col min="15" max="15" width="8.88671875" style="8" customWidth="1"/>
    <col min="16" max="16" width="8.88671875" style="76" customWidth="1"/>
    <col min="17" max="21" width="8.88671875" style="8"/>
    <col min="22" max="28" width="8.88671875" style="8" customWidth="1"/>
    <col min="29" max="29" width="9.88671875" style="8" customWidth="1"/>
    <col min="30" max="30" width="9.5546875" style="8" customWidth="1"/>
    <col min="31" max="16384" width="8.88671875" style="8"/>
  </cols>
  <sheetData>
    <row r="1" spans="1:31" x14ac:dyDescent="0.25">
      <c r="A1" s="4"/>
      <c r="B1" s="83" t="s">
        <v>38</v>
      </c>
      <c r="C1" s="83"/>
      <c r="D1" s="83"/>
      <c r="E1" s="5"/>
      <c r="F1" s="5"/>
      <c r="G1" s="4"/>
      <c r="H1" s="6"/>
      <c r="I1" s="4"/>
      <c r="J1" s="4"/>
      <c r="K1" s="4"/>
      <c r="L1" s="4"/>
      <c r="M1" s="4"/>
      <c r="N1" s="4"/>
      <c r="O1" s="4"/>
      <c r="P1" s="6"/>
      <c r="Q1" s="4"/>
      <c r="R1" s="4"/>
      <c r="S1" s="4"/>
      <c r="T1" s="4"/>
      <c r="AC1" s="7"/>
      <c r="AD1" s="7"/>
      <c r="AE1" s="7"/>
    </row>
    <row r="2" spans="1:31" x14ac:dyDescent="0.25">
      <c r="A2" s="4"/>
      <c r="B2" s="80" t="s">
        <v>22</v>
      </c>
      <c r="C2" s="80"/>
      <c r="D2" s="80"/>
      <c r="E2" s="80"/>
      <c r="F2" s="80"/>
      <c r="G2" s="4"/>
      <c r="H2" s="80" t="s">
        <v>41</v>
      </c>
      <c r="I2" s="80"/>
      <c r="J2" s="80"/>
      <c r="K2" s="80"/>
      <c r="L2" s="80"/>
      <c r="M2" s="4"/>
      <c r="N2" s="78" t="s">
        <v>19</v>
      </c>
      <c r="O2" s="79"/>
      <c r="P2" s="6"/>
      <c r="Q2" s="6" t="s">
        <v>141</v>
      </c>
      <c r="R2" s="71"/>
      <c r="S2" s="4"/>
      <c r="T2" s="4"/>
    </row>
    <row r="3" spans="1:31" ht="14.4" customHeight="1" x14ac:dyDescent="0.25">
      <c r="A3" s="4"/>
      <c r="B3" s="10" t="s">
        <v>42</v>
      </c>
      <c r="C3" s="11" t="s">
        <v>0</v>
      </c>
      <c r="D3" s="11" t="s">
        <v>18</v>
      </c>
      <c r="E3" s="11" t="s">
        <v>16</v>
      </c>
      <c r="F3" s="11" t="s">
        <v>10</v>
      </c>
      <c r="G3" s="3"/>
      <c r="H3" s="11" t="s">
        <v>17</v>
      </c>
      <c r="I3" s="11" t="s">
        <v>0</v>
      </c>
      <c r="J3" s="11" t="s">
        <v>18</v>
      </c>
      <c r="K3" s="11" t="s">
        <v>16</v>
      </c>
      <c r="L3" s="11" t="s">
        <v>10</v>
      </c>
      <c r="M3" s="4"/>
      <c r="N3" s="16" t="s">
        <v>145</v>
      </c>
      <c r="O3" s="15">
        <v>1</v>
      </c>
      <c r="P3" s="6"/>
      <c r="Q3" s="6" t="s">
        <v>136</v>
      </c>
      <c r="R3" s="71"/>
      <c r="S3" s="4"/>
      <c r="T3" s="4"/>
    </row>
    <row r="4" spans="1:31" x14ac:dyDescent="0.25">
      <c r="A4" s="3">
        <f>IF(E4="无",1,IF(E4="加",1.2,IF(E4="减",0.9,1)))</f>
        <v>1</v>
      </c>
      <c r="B4" s="12" t="s">
        <v>1</v>
      </c>
      <c r="C4" s="1"/>
      <c r="D4" s="1"/>
      <c r="E4" s="1" t="s">
        <v>11</v>
      </c>
      <c r="F4" s="13">
        <f>ROUND((ROUND(1.7*(C4+3*D4),0)+70)*A4,0)+100</f>
        <v>170</v>
      </c>
      <c r="G4" s="3">
        <f>IF(K4="无",1,IF(K4="加",1.2,IF(K4="减",0.9,1)))</f>
        <v>1</v>
      </c>
      <c r="H4" s="14" t="s">
        <v>1</v>
      </c>
      <c r="I4" s="1"/>
      <c r="J4" s="1"/>
      <c r="K4" s="1" t="s">
        <v>11</v>
      </c>
      <c r="L4" s="13">
        <f>ROUND((ROUND(1.7*(I4+3*J4),0)+70)*G4,0)+100</f>
        <v>170</v>
      </c>
      <c r="M4" s="4"/>
      <c r="N4" s="16" t="s">
        <v>146</v>
      </c>
      <c r="O4" s="15">
        <f>O3*O3+24*O3-24</f>
        <v>1</v>
      </c>
      <c r="P4" s="6"/>
      <c r="Q4" s="6" t="s">
        <v>137</v>
      </c>
      <c r="R4" s="71"/>
      <c r="S4" s="4"/>
      <c r="T4" s="4"/>
    </row>
    <row r="5" spans="1:31" x14ac:dyDescent="0.25">
      <c r="A5" s="3">
        <f t="shared" ref="A5:A9" si="0">IF(E5="无",1,IF(E5="加",1.2,IF(E5="减",0.9,1)))</f>
        <v>1</v>
      </c>
      <c r="B5" s="12" t="s">
        <v>3</v>
      </c>
      <c r="C5" s="1"/>
      <c r="D5" s="1"/>
      <c r="E5" s="1" t="s">
        <v>11</v>
      </c>
      <c r="F5" s="13">
        <f>ROUND((ROUND(1.1*(C5+3*D5),0)+10)*A5,0)+50</f>
        <v>60</v>
      </c>
      <c r="G5" s="3">
        <f>IF(K5="无",1,IF(K5="加",1.2,IF(K5="减",0.9,1)))</f>
        <v>1</v>
      </c>
      <c r="H5" s="14" t="s">
        <v>5</v>
      </c>
      <c r="I5" s="1"/>
      <c r="J5" s="1"/>
      <c r="K5" s="1" t="s">
        <v>11</v>
      </c>
      <c r="L5" s="13">
        <f>ROUND((ROUND(1.1*(I5+3*J5),0)+10)*G5,0)+50</f>
        <v>60</v>
      </c>
      <c r="M5" s="4"/>
      <c r="N5" s="4"/>
      <c r="O5" s="4"/>
      <c r="P5" s="6"/>
      <c r="Q5" s="6" t="s">
        <v>138</v>
      </c>
      <c r="R5" s="71"/>
      <c r="S5" s="4"/>
      <c r="T5" s="4"/>
    </row>
    <row r="6" spans="1:31" x14ac:dyDescent="0.25">
      <c r="A6" s="3">
        <f t="shared" si="0"/>
        <v>1</v>
      </c>
      <c r="B6" s="12" t="s">
        <v>4</v>
      </c>
      <c r="C6" s="1"/>
      <c r="D6" s="1"/>
      <c r="E6" s="1" t="s">
        <v>11</v>
      </c>
      <c r="F6" s="13">
        <f t="shared" ref="F6:F9" si="1">ROUND((ROUND(1.1*(C6+3*D6),0)+10)*A6,0)+50</f>
        <v>60</v>
      </c>
      <c r="G6" s="3">
        <f>IF(K6="无",1,IF(K6="加",1.2,IF(K6="减",0.9,1)))</f>
        <v>1</v>
      </c>
      <c r="H6" s="14" t="s">
        <v>6</v>
      </c>
      <c r="I6" s="1"/>
      <c r="J6" s="1"/>
      <c r="K6" s="1" t="s">
        <v>11</v>
      </c>
      <c r="L6" s="13">
        <f>ROUND((ROUND(1.1*(I6+3*J6),0)+10)*G6,0)+50</f>
        <v>60</v>
      </c>
      <c r="M6" s="4"/>
      <c r="N6" s="4"/>
      <c r="O6" s="4"/>
      <c r="P6" s="6"/>
      <c r="Q6" s="6" t="s">
        <v>139</v>
      </c>
      <c r="R6" s="4"/>
      <c r="S6" s="4"/>
      <c r="T6" s="4"/>
    </row>
    <row r="7" spans="1:31" x14ac:dyDescent="0.25">
      <c r="A7" s="3">
        <f t="shared" si="0"/>
        <v>1</v>
      </c>
      <c r="B7" s="12" t="s">
        <v>5</v>
      </c>
      <c r="C7" s="1"/>
      <c r="D7" s="1"/>
      <c r="E7" s="1" t="s">
        <v>11</v>
      </c>
      <c r="F7" s="13">
        <f t="shared" si="1"/>
        <v>60</v>
      </c>
      <c r="G7" s="3">
        <f>IF(K7="无",1,IF(K7="加",1.2,IF(K7="减",0.9,1)))</f>
        <v>1</v>
      </c>
      <c r="H7" s="14" t="s">
        <v>7</v>
      </c>
      <c r="I7" s="1"/>
      <c r="J7" s="1"/>
      <c r="K7" s="1" t="s">
        <v>11</v>
      </c>
      <c r="L7" s="13">
        <f>ROUND((ROUND(1.1*(I7+3*J7),0)+10)*G7,0)+50</f>
        <v>60</v>
      </c>
      <c r="M7" s="4"/>
      <c r="N7" s="4"/>
      <c r="O7" s="4"/>
      <c r="P7" s="6"/>
      <c r="Q7" s="6" t="s">
        <v>140</v>
      </c>
      <c r="R7" s="4"/>
      <c r="S7" s="4"/>
      <c r="T7" s="4"/>
    </row>
    <row r="8" spans="1:31" x14ac:dyDescent="0.25">
      <c r="A8" s="3">
        <f t="shared" si="0"/>
        <v>1</v>
      </c>
      <c r="B8" s="12" t="s">
        <v>6</v>
      </c>
      <c r="C8" s="1"/>
      <c r="D8" s="1"/>
      <c r="E8" s="1" t="s">
        <v>11</v>
      </c>
      <c r="F8" s="13">
        <f t="shared" si="1"/>
        <v>60</v>
      </c>
      <c r="G8" s="3"/>
      <c r="H8" s="4"/>
      <c r="I8" s="4"/>
      <c r="J8" s="4"/>
      <c r="K8" s="4"/>
      <c r="L8" s="4"/>
      <c r="M8" s="4"/>
      <c r="N8" s="4"/>
      <c r="O8" s="4"/>
      <c r="P8" s="6"/>
      <c r="Q8" s="6" t="s">
        <v>147</v>
      </c>
      <c r="R8" s="77"/>
      <c r="S8" s="77"/>
      <c r="T8" s="4"/>
    </row>
    <row r="9" spans="1:31" x14ac:dyDescent="0.25">
      <c r="A9" s="3">
        <f t="shared" si="0"/>
        <v>1</v>
      </c>
      <c r="B9" s="12" t="s">
        <v>7</v>
      </c>
      <c r="C9" s="1"/>
      <c r="D9" s="1"/>
      <c r="E9" s="1" t="s">
        <v>11</v>
      </c>
      <c r="F9" s="13">
        <f t="shared" si="1"/>
        <v>60</v>
      </c>
      <c r="G9" s="3"/>
      <c r="H9" s="80" t="s">
        <v>143</v>
      </c>
      <c r="I9" s="80"/>
      <c r="J9" s="80"/>
      <c r="K9" s="80"/>
      <c r="L9" s="78" t="s">
        <v>144</v>
      </c>
      <c r="M9" s="79"/>
      <c r="N9" s="4"/>
      <c r="O9" s="4"/>
      <c r="P9" s="6"/>
      <c r="Q9" s="4"/>
      <c r="R9" s="4"/>
      <c r="S9" s="4"/>
      <c r="T9" s="77" t="s">
        <v>142</v>
      </c>
    </row>
    <row r="10" spans="1:31" x14ac:dyDescent="0.25">
      <c r="A10" s="4"/>
      <c r="B10" s="4"/>
      <c r="C10" s="4"/>
      <c r="D10" s="4"/>
      <c r="E10" s="4"/>
      <c r="F10" s="4"/>
      <c r="G10" s="4"/>
      <c r="H10" s="11" t="s">
        <v>3</v>
      </c>
      <c r="I10" s="11" t="s">
        <v>4</v>
      </c>
      <c r="J10" s="11" t="s">
        <v>131</v>
      </c>
      <c r="K10" s="11" t="s">
        <v>133</v>
      </c>
      <c r="L10" s="11" t="s">
        <v>5</v>
      </c>
      <c r="M10" s="11" t="s">
        <v>6</v>
      </c>
      <c r="N10" s="4"/>
      <c r="O10" s="4"/>
      <c r="P10" s="6"/>
      <c r="Q10" s="4"/>
      <c r="R10" s="4"/>
      <c r="S10" s="4"/>
      <c r="T10" s="4"/>
    </row>
    <row r="11" spans="1:31" x14ac:dyDescent="0.25">
      <c r="A11" s="3"/>
      <c r="B11" s="4"/>
      <c r="C11" s="4"/>
      <c r="D11" s="4"/>
      <c r="E11" s="4"/>
      <c r="F11" s="4"/>
      <c r="G11" s="4"/>
      <c r="H11" s="72">
        <v>0</v>
      </c>
      <c r="I11" s="72">
        <v>0</v>
      </c>
      <c r="J11" s="21">
        <v>0</v>
      </c>
      <c r="K11" s="72">
        <v>0</v>
      </c>
      <c r="L11" s="72">
        <v>0</v>
      </c>
      <c r="M11" s="72">
        <v>0</v>
      </c>
      <c r="N11" s="4"/>
      <c r="O11" s="4"/>
      <c r="P11" s="6"/>
      <c r="Q11" s="4"/>
      <c r="R11" s="4"/>
      <c r="S11" s="4"/>
      <c r="T11" s="4"/>
    </row>
    <row r="12" spans="1:31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"/>
      <c r="Q12" s="4"/>
      <c r="R12" s="4"/>
      <c r="S12" s="4"/>
      <c r="T12" s="4"/>
    </row>
    <row r="13" spans="1:31" x14ac:dyDescent="0.25">
      <c r="A13" s="4"/>
      <c r="B13" s="78" t="s">
        <v>37</v>
      </c>
      <c r="C13" s="82"/>
      <c r="D13" s="82"/>
      <c r="E13" s="82"/>
      <c r="F13" s="82"/>
      <c r="G13" s="82"/>
      <c r="H13" s="82"/>
      <c r="I13" s="79"/>
      <c r="J13" s="78" t="s">
        <v>12</v>
      </c>
      <c r="K13" s="82"/>
      <c r="L13" s="79"/>
      <c r="M13" s="4"/>
      <c r="N13" s="4"/>
      <c r="O13" s="4"/>
      <c r="P13" s="6"/>
      <c r="Q13" s="4"/>
      <c r="R13" s="4"/>
      <c r="S13" s="4"/>
      <c r="T13" s="4"/>
    </row>
    <row r="14" spans="1:31" x14ac:dyDescent="0.25">
      <c r="A14" s="3"/>
      <c r="B14" s="16" t="s">
        <v>28</v>
      </c>
      <c r="C14" s="2" t="s">
        <v>27</v>
      </c>
      <c r="D14" s="2" t="s">
        <v>26</v>
      </c>
      <c r="E14" s="2" t="s">
        <v>29</v>
      </c>
      <c r="F14" s="2" t="s">
        <v>19</v>
      </c>
      <c r="G14" s="16" t="s">
        <v>21</v>
      </c>
      <c r="H14" s="2" t="s">
        <v>31</v>
      </c>
      <c r="I14" s="17" t="s">
        <v>30</v>
      </c>
      <c r="J14" s="11" t="s">
        <v>124</v>
      </c>
      <c r="K14" s="11" t="s">
        <v>13</v>
      </c>
      <c r="L14" s="11" t="s">
        <v>14</v>
      </c>
      <c r="M14" s="4"/>
      <c r="N14" s="4"/>
      <c r="O14" s="4"/>
      <c r="P14" s="6"/>
      <c r="Q14" s="4"/>
      <c r="R14" s="4"/>
      <c r="S14" s="4"/>
      <c r="T14" s="4"/>
    </row>
    <row r="15" spans="1:31" x14ac:dyDescent="0.25">
      <c r="A15" s="3" t="s">
        <v>130</v>
      </c>
      <c r="B15" s="12" t="s">
        <v>128</v>
      </c>
      <c r="C15" s="1">
        <v>160</v>
      </c>
      <c r="D15" s="1" t="s">
        <v>127</v>
      </c>
      <c r="E15" s="18" t="s">
        <v>129</v>
      </c>
      <c r="F15" s="1">
        <v>1</v>
      </c>
      <c r="G15" s="66">
        <f>ROUNDDOWN((ROUNDDOWN(G16,0)+J11)*(1+K11),0)</f>
        <v>50</v>
      </c>
      <c r="H15" s="19">
        <v>1</v>
      </c>
      <c r="I15" s="67">
        <f>G15*H15</f>
        <v>50</v>
      </c>
      <c r="J15" s="66">
        <f>ROUNDUP(J16,0)</f>
        <v>45</v>
      </c>
      <c r="K15" s="68">
        <f>100*J15/L4</f>
        <v>26.470588235294116</v>
      </c>
      <c r="L15" s="25">
        <f>ROUNDUP(L4/J15,0)</f>
        <v>4</v>
      </c>
      <c r="M15" s="4"/>
      <c r="N15" s="4"/>
      <c r="O15" s="4"/>
      <c r="P15" s="6"/>
      <c r="Q15" s="4"/>
      <c r="R15" s="4"/>
      <c r="S15" s="4"/>
      <c r="T15" s="4"/>
    </row>
    <row r="16" spans="1:31" x14ac:dyDescent="0.25">
      <c r="A16" s="3">
        <f>IF(B15="物攻",F5,F6)</f>
        <v>60</v>
      </c>
      <c r="B16" s="3">
        <f>IF(B15="物攻",H11,I11)</f>
        <v>0</v>
      </c>
      <c r="C16" s="3">
        <f>IF(B16&gt;0,1+B16,1/(1-B16))</f>
        <v>1</v>
      </c>
      <c r="D16" s="3">
        <f>IF(D15="有",1.25,1)</f>
        <v>1.25</v>
      </c>
      <c r="E16" s="3">
        <f>IF(E15="1倍",1,IF(E15="2倍",2,IF(E15="3倍",3,IF(E15="1/2倍",1/2,IF(E15="1/4倍",1/4,0)))))</f>
        <v>0.25</v>
      </c>
      <c r="F16" s="3"/>
      <c r="G16" s="3">
        <f>C15*D16*E16*C16*C17*F15</f>
        <v>50</v>
      </c>
      <c r="H16" s="3"/>
      <c r="I16" s="3"/>
      <c r="J16" s="24">
        <f>0.9*I15*A16/A17</f>
        <v>45</v>
      </c>
      <c r="K16" s="3"/>
      <c r="L16" s="4"/>
      <c r="M16" s="4"/>
      <c r="N16" s="4"/>
      <c r="O16" s="4"/>
      <c r="P16" s="6"/>
      <c r="Q16" s="4"/>
      <c r="R16" s="4"/>
      <c r="S16" s="4"/>
      <c r="T16" s="4"/>
    </row>
    <row r="17" spans="1:30" x14ac:dyDescent="0.25">
      <c r="A17" s="3">
        <f>IF(B15="物攻",L5,L6)</f>
        <v>60</v>
      </c>
      <c r="B17" s="3">
        <f>IF(B15="物攻",L11,M11)</f>
        <v>0</v>
      </c>
      <c r="C17" s="3">
        <f>IF(B17&gt;0,1/(1+B17),1-B17)</f>
        <v>1</v>
      </c>
      <c r="D17" s="3"/>
      <c r="E17" s="3"/>
      <c r="F17" s="3"/>
      <c r="G17" s="3"/>
      <c r="H17" s="3"/>
      <c r="I17" s="3"/>
      <c r="J17" s="3"/>
      <c r="K17" s="3"/>
      <c r="L17" s="4"/>
      <c r="M17" s="4"/>
      <c r="N17" s="4"/>
      <c r="O17" s="4"/>
      <c r="P17" s="6"/>
      <c r="Q17" s="4"/>
      <c r="R17" s="4"/>
      <c r="S17" s="4"/>
      <c r="T17" s="4"/>
    </row>
    <row r="18" spans="1:30" x14ac:dyDescent="0.25">
      <c r="A18" s="3" t="s">
        <v>132</v>
      </c>
      <c r="B18" s="80" t="s">
        <v>25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4"/>
      <c r="O18" s="4"/>
      <c r="P18" s="6"/>
      <c r="Q18" s="4"/>
      <c r="R18" s="4"/>
      <c r="S18" s="4"/>
      <c r="T18" s="4"/>
    </row>
    <row r="19" spans="1:30" x14ac:dyDescent="0.25">
      <c r="A19" s="3"/>
      <c r="B19" s="78" t="s">
        <v>121</v>
      </c>
      <c r="C19" s="82"/>
      <c r="D19" s="82"/>
      <c r="E19" s="82"/>
      <c r="F19" s="79"/>
      <c r="G19" s="78" t="s">
        <v>122</v>
      </c>
      <c r="H19" s="82"/>
      <c r="I19" s="82"/>
      <c r="J19" s="82"/>
      <c r="K19" s="79"/>
      <c r="L19" s="80" t="s">
        <v>126</v>
      </c>
      <c r="M19" s="80"/>
      <c r="N19" s="3" t="s">
        <v>32</v>
      </c>
      <c r="O19" s="3" t="s">
        <v>33</v>
      </c>
      <c r="P19" s="75" t="s">
        <v>34</v>
      </c>
      <c r="Q19" s="4"/>
      <c r="R19" s="4"/>
      <c r="S19" s="4"/>
      <c r="T19" s="4"/>
    </row>
    <row r="20" spans="1:30" x14ac:dyDescent="0.25">
      <c r="A20" s="3"/>
      <c r="B20" s="70" t="s">
        <v>15</v>
      </c>
      <c r="C20" s="70" t="s">
        <v>20</v>
      </c>
      <c r="D20" s="70" t="s">
        <v>35</v>
      </c>
      <c r="E20" s="70" t="s">
        <v>36</v>
      </c>
      <c r="F20" s="73" t="s">
        <v>135</v>
      </c>
      <c r="G20" s="70" t="s">
        <v>15</v>
      </c>
      <c r="H20" s="70" t="s">
        <v>2</v>
      </c>
      <c r="I20" s="70" t="s">
        <v>8</v>
      </c>
      <c r="J20" s="70" t="s">
        <v>9</v>
      </c>
      <c r="K20" s="73" t="s">
        <v>135</v>
      </c>
      <c r="L20" s="70" t="s">
        <v>15</v>
      </c>
      <c r="M20" s="70" t="s">
        <v>125</v>
      </c>
      <c r="N20" s="3">
        <f>ROUND((ROUND(1.7*(C4),0)+70)*1,0)+100</f>
        <v>170</v>
      </c>
      <c r="O20" s="3">
        <f>ROUND((ROUND(1.7*(C4+30),0)+70)*1,0)+100</f>
        <v>221</v>
      </c>
      <c r="P20" s="75">
        <f>ROUND((ROUND(1.7*(C4+30),0)+70)*1.2,0)+100</f>
        <v>245</v>
      </c>
      <c r="Q20" s="4"/>
      <c r="R20" s="4"/>
      <c r="S20" s="4"/>
      <c r="T20" s="4"/>
    </row>
    <row r="21" spans="1:30" x14ac:dyDescent="0.25">
      <c r="A21" s="4"/>
      <c r="B21" s="21" t="s">
        <v>23</v>
      </c>
      <c r="C21" s="1">
        <f>O20*N21</f>
        <v>13260</v>
      </c>
      <c r="D21" s="1">
        <f>N20*O21</f>
        <v>15810</v>
      </c>
      <c r="E21" s="15">
        <f>N20*N21</f>
        <v>10200</v>
      </c>
      <c r="F21" s="74" t="str">
        <f>IF(D21&gt;C21,"加物防","加生命")</f>
        <v>加物防</v>
      </c>
      <c r="G21" s="21" t="s">
        <v>23</v>
      </c>
      <c r="H21" s="1">
        <f>P20*O21</f>
        <v>22785</v>
      </c>
      <c r="I21" s="1">
        <f>O20*P21</f>
        <v>22542</v>
      </c>
      <c r="J21" s="15">
        <f>O20*O21</f>
        <v>20553</v>
      </c>
      <c r="K21" s="74" t="str">
        <f>IF(I21&gt;H21,"加物防","加生命")</f>
        <v>加生命</v>
      </c>
      <c r="L21" s="21" t="s">
        <v>23</v>
      </c>
      <c r="M21" s="21">
        <f>F4*F7</f>
        <v>10200</v>
      </c>
      <c r="N21" s="3">
        <f>ROUND((ROUND(1.1*(C7),0)+10)*1,0)+50</f>
        <v>60</v>
      </c>
      <c r="O21" s="3">
        <f>ROUND((ROUND(1.1*(C7+30),0)+10)*1,0)+50</f>
        <v>93</v>
      </c>
      <c r="P21" s="75">
        <f>ROUND((ROUND(1.1*(C7+30),0)+10)*1.2,0)+50</f>
        <v>102</v>
      </c>
      <c r="Q21" s="4"/>
      <c r="R21" s="4"/>
      <c r="S21" s="4"/>
      <c r="T21" s="4"/>
    </row>
    <row r="22" spans="1:30" x14ac:dyDescent="0.25">
      <c r="A22" s="4"/>
      <c r="B22" s="22" t="s">
        <v>24</v>
      </c>
      <c r="C22" s="19">
        <f>O20*N22</f>
        <v>13260</v>
      </c>
      <c r="D22" s="19">
        <f>N20*N22</f>
        <v>10200</v>
      </c>
      <c r="E22" s="20">
        <f>N20*O22</f>
        <v>15810</v>
      </c>
      <c r="F22" s="74" t="str">
        <f>IF(E22&gt;C22,"加魔防","加生命")</f>
        <v>加魔防</v>
      </c>
      <c r="G22" s="22" t="s">
        <v>24</v>
      </c>
      <c r="H22" s="19">
        <f>P20*O22</f>
        <v>22785</v>
      </c>
      <c r="I22" s="19">
        <f>O20*O22</f>
        <v>20553</v>
      </c>
      <c r="J22" s="20">
        <f>O20*P22</f>
        <v>22542</v>
      </c>
      <c r="K22" s="74" t="str">
        <f>IF(J22&gt;H22,"加魔防","加生命")</f>
        <v>加生命</v>
      </c>
      <c r="L22" s="22" t="s">
        <v>24</v>
      </c>
      <c r="M22" s="22">
        <f>F4*F8</f>
        <v>10200</v>
      </c>
      <c r="N22" s="3">
        <f>ROUND((ROUND(1.1*(C8),0)+10)*1,0)+50</f>
        <v>60</v>
      </c>
      <c r="O22" s="3">
        <f>ROUND((ROUND(1.1*(C8+30),0)+10)*1,0)+50</f>
        <v>93</v>
      </c>
      <c r="P22" s="75">
        <f>ROUND((ROUND(1.1*(C8+30),0)+10)*1.2,0)+50</f>
        <v>102</v>
      </c>
      <c r="Q22" s="4"/>
      <c r="R22" s="4"/>
      <c r="S22" s="4"/>
      <c r="T22" s="4"/>
    </row>
    <row r="23" spans="1:30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6"/>
      <c r="Q23" s="4"/>
      <c r="R23" s="4"/>
      <c r="S23" s="4"/>
      <c r="T23" s="4"/>
      <c r="AC23" s="23"/>
      <c r="AD23" s="23"/>
    </row>
    <row r="24" spans="1:30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6"/>
      <c r="Q24" s="4"/>
      <c r="R24" s="4"/>
      <c r="S24" s="4"/>
      <c r="T24" s="4"/>
      <c r="AC24" s="23"/>
      <c r="AD24" s="23"/>
    </row>
    <row r="25" spans="1:30" x14ac:dyDescent="0.25">
      <c r="A25" s="4"/>
      <c r="B25" s="9" t="s">
        <v>39</v>
      </c>
      <c r="C25" s="80" t="s">
        <v>40</v>
      </c>
      <c r="D25" s="80"/>
      <c r="E25" s="80"/>
      <c r="F25" s="80"/>
      <c r="G25" s="80"/>
      <c r="H25" s="80"/>
      <c r="I25" s="80"/>
      <c r="J25" s="80"/>
      <c r="K25" s="80"/>
      <c r="L25" s="4"/>
      <c r="M25" s="4"/>
      <c r="N25" s="4"/>
      <c r="O25" s="4"/>
      <c r="P25" s="6"/>
      <c r="Q25" s="4"/>
      <c r="R25" s="4"/>
      <c r="S25" s="4"/>
      <c r="T25" s="4"/>
    </row>
    <row r="26" spans="1:30" x14ac:dyDescent="0.25">
      <c r="A26" s="4"/>
      <c r="B26" s="12">
        <v>1</v>
      </c>
      <c r="C26" s="81" t="s">
        <v>134</v>
      </c>
      <c r="D26" s="81"/>
      <c r="E26" s="81"/>
      <c r="F26" s="81"/>
      <c r="G26" s="81"/>
      <c r="H26" s="81"/>
      <c r="I26" s="81"/>
      <c r="J26" s="81"/>
      <c r="K26" s="81"/>
      <c r="L26" s="4"/>
      <c r="M26" s="4"/>
      <c r="N26" s="4"/>
      <c r="O26" s="4"/>
      <c r="P26" s="6"/>
      <c r="Q26" s="4"/>
      <c r="R26" s="4"/>
      <c r="S26" s="4"/>
      <c r="T26" s="4"/>
    </row>
    <row r="27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6"/>
      <c r="Q27" s="4"/>
      <c r="R27" s="4"/>
      <c r="S27" s="4"/>
      <c r="T27" s="4"/>
    </row>
    <row r="28" spans="1:30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6"/>
      <c r="Q28" s="4"/>
      <c r="R28" s="4"/>
      <c r="S28" s="4"/>
      <c r="T28" s="4"/>
    </row>
    <row r="29" spans="1:30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6"/>
      <c r="Q29" s="4"/>
      <c r="R29" s="4"/>
      <c r="S29" s="4"/>
      <c r="T29" s="4"/>
    </row>
    <row r="30" spans="1:30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6"/>
      <c r="Q30" s="4"/>
      <c r="R30" s="4"/>
      <c r="S30" s="4"/>
      <c r="T30" s="4"/>
    </row>
    <row r="31" spans="1:30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6"/>
      <c r="Q31" s="4"/>
      <c r="R31" s="4"/>
      <c r="S31" s="4"/>
      <c r="T31" s="4"/>
    </row>
    <row r="32" spans="1:30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6"/>
      <c r="Q32" s="4"/>
      <c r="R32" s="4"/>
      <c r="S32" s="4"/>
      <c r="T32" s="4"/>
    </row>
    <row r="33" spans="1:20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6"/>
      <c r="Q33" s="4"/>
      <c r="R33" s="4"/>
      <c r="S33" s="4"/>
      <c r="T33" s="4"/>
    </row>
    <row r="34" spans="1:20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6"/>
      <c r="Q34" s="4"/>
      <c r="R34" s="4"/>
      <c r="S34" s="4"/>
      <c r="T34" s="4"/>
    </row>
    <row r="35" spans="1:20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6"/>
      <c r="Q35" s="4"/>
      <c r="R35" s="4"/>
      <c r="S35" s="4"/>
      <c r="T35" s="4"/>
    </row>
    <row r="36" spans="1:20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6"/>
      <c r="Q36" s="4"/>
      <c r="R36" s="4"/>
      <c r="S36" s="4"/>
      <c r="T36" s="4"/>
    </row>
    <row r="37" spans="1:20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6"/>
      <c r="Q37" s="4"/>
      <c r="R37" s="4"/>
      <c r="S37" s="4"/>
      <c r="T37" s="4"/>
    </row>
    <row r="38" spans="1:20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6"/>
      <c r="Q38" s="4"/>
      <c r="R38" s="4"/>
      <c r="S38" s="4"/>
      <c r="T38" s="4"/>
    </row>
    <row r="39" spans="1:20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6"/>
      <c r="Q39" s="4"/>
      <c r="R39" s="4"/>
      <c r="S39" s="4"/>
      <c r="T39" s="4"/>
    </row>
    <row r="40" spans="1:20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6"/>
      <c r="Q40" s="4"/>
      <c r="R40" s="4"/>
      <c r="S40" s="4"/>
      <c r="T40" s="4"/>
    </row>
  </sheetData>
  <mergeCells count="14">
    <mergeCell ref="B1:D1"/>
    <mergeCell ref="H2:L2"/>
    <mergeCell ref="B2:F2"/>
    <mergeCell ref="N2:O2"/>
    <mergeCell ref="B18:M18"/>
    <mergeCell ref="H9:K9"/>
    <mergeCell ref="C25:K25"/>
    <mergeCell ref="C26:K26"/>
    <mergeCell ref="B19:F19"/>
    <mergeCell ref="G19:K19"/>
    <mergeCell ref="L19:M19"/>
    <mergeCell ref="J13:L13"/>
    <mergeCell ref="L9:M9"/>
    <mergeCell ref="B13:I13"/>
  </mergeCells>
  <phoneticPr fontId="1" type="noConversion"/>
  <dataValidations count="4">
    <dataValidation type="list" allowBlank="1" showInputMessage="1" showErrorMessage="1" sqref="E4:E9 K4:K7" xr:uid="{79CD84FD-083D-4364-A71E-54A33518C588}">
      <formula1>"加,减, 无"</formula1>
    </dataValidation>
    <dataValidation type="list" allowBlank="1" showInputMessage="1" showErrorMessage="1" sqref="B15" xr:uid="{1064CD59-0310-4507-B8D8-F64A84D432C2}">
      <formula1>"物攻,魔攻"</formula1>
    </dataValidation>
    <dataValidation type="list" allowBlank="1" showInputMessage="1" showErrorMessage="1" sqref="D15" xr:uid="{906E0E82-28D4-4CFF-A440-CBE287287AA8}">
      <formula1>"有,无"</formula1>
    </dataValidation>
    <dataValidation type="list" allowBlank="1" showInputMessage="1" showErrorMessage="1" sqref="E15" xr:uid="{126AA6AE-EB0F-44BE-8ADE-4713A7A81262}">
      <formula1>"1倍,2倍,3倍,1/2倍,1/4倍"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2C381-AD6B-4716-BC74-C1DB145D939C}">
  <dimension ref="A1:N844"/>
  <sheetViews>
    <sheetView zoomScale="115" zoomScaleNormal="115" workbookViewId="0"/>
  </sheetViews>
  <sheetFormatPr defaultRowHeight="13.8" x14ac:dyDescent="0.25"/>
  <cols>
    <col min="1" max="1" width="8.88671875" style="29"/>
    <col min="2" max="3" width="8.88671875" style="30"/>
    <col min="4" max="4" width="8.88671875" style="31"/>
    <col min="5" max="5" width="111.109375" style="26" customWidth="1"/>
    <col min="6" max="16384" width="8.88671875" style="26"/>
  </cols>
  <sheetData>
    <row r="1" spans="1:14" s="28" customFormat="1" x14ac:dyDescent="0.25">
      <c r="A1" s="27" t="s">
        <v>44</v>
      </c>
      <c r="B1" s="27" t="s">
        <v>45</v>
      </c>
      <c r="C1" s="27" t="s">
        <v>16</v>
      </c>
      <c r="D1" s="27" t="s">
        <v>10</v>
      </c>
      <c r="E1" s="27" t="s">
        <v>46</v>
      </c>
      <c r="F1" s="33"/>
      <c r="G1" s="33"/>
      <c r="H1" s="33"/>
      <c r="I1" s="33"/>
      <c r="J1" s="33"/>
      <c r="K1" s="33"/>
      <c r="L1" s="33"/>
      <c r="M1" s="33"/>
      <c r="N1" s="33"/>
    </row>
    <row r="2" spans="1:14" s="54" customFormat="1" x14ac:dyDescent="0.25">
      <c r="A2" s="36">
        <v>115</v>
      </c>
      <c r="B2" s="30">
        <v>10</v>
      </c>
      <c r="C2" s="30">
        <v>1.2</v>
      </c>
      <c r="D2" s="31">
        <v>354</v>
      </c>
      <c r="E2" s="32" t="s">
        <v>47</v>
      </c>
      <c r="F2" s="33"/>
      <c r="G2" s="33"/>
      <c r="H2" s="33"/>
      <c r="I2" s="33"/>
      <c r="J2" s="33"/>
      <c r="K2" s="33"/>
      <c r="L2" s="33"/>
      <c r="M2" s="33"/>
      <c r="N2" s="33"/>
    </row>
    <row r="3" spans="1:14" s="55" customFormat="1" x14ac:dyDescent="0.25">
      <c r="A3" s="29">
        <v>115</v>
      </c>
      <c r="B3" s="30">
        <v>10</v>
      </c>
      <c r="C3" s="30">
        <v>1.2</v>
      </c>
      <c r="D3" s="31">
        <v>304</v>
      </c>
      <c r="E3" s="32" t="s">
        <v>48</v>
      </c>
      <c r="F3" s="33"/>
      <c r="G3" s="33"/>
      <c r="H3" s="33"/>
      <c r="I3" s="33"/>
      <c r="J3" s="33"/>
      <c r="K3" s="33"/>
      <c r="L3" s="33"/>
      <c r="M3" s="33"/>
      <c r="N3" s="33"/>
    </row>
    <row r="4" spans="1:14" s="54" customFormat="1" x14ac:dyDescent="0.25">
      <c r="A4" s="41">
        <v>145</v>
      </c>
      <c r="B4" s="30">
        <v>10</v>
      </c>
      <c r="C4" s="30">
        <v>1.2</v>
      </c>
      <c r="D4" s="31">
        <f>ROUND((ROUND(1.1*(A4+3*B4),0)+10)*C4,0)+50</f>
        <v>294</v>
      </c>
      <c r="E4" s="34" t="s">
        <v>49</v>
      </c>
      <c r="F4" s="33"/>
      <c r="G4" s="33"/>
      <c r="H4" s="33"/>
      <c r="I4" s="33"/>
      <c r="J4" s="33"/>
      <c r="K4" s="33"/>
      <c r="L4" s="33"/>
      <c r="M4" s="33"/>
      <c r="N4" s="33"/>
    </row>
    <row r="5" spans="1:14" s="33" customFormat="1" x14ac:dyDescent="0.25">
      <c r="A5" s="29">
        <v>70</v>
      </c>
      <c r="B5" s="30">
        <v>10</v>
      </c>
      <c r="C5" s="30">
        <v>1.2</v>
      </c>
      <c r="D5" s="31">
        <v>294</v>
      </c>
      <c r="E5" s="32" t="s">
        <v>50</v>
      </c>
    </row>
    <row r="6" spans="1:14" s="33" customFormat="1" x14ac:dyDescent="0.25">
      <c r="A6" s="29">
        <v>105</v>
      </c>
      <c r="B6" s="30">
        <v>10</v>
      </c>
      <c r="C6" s="30">
        <v>1.2</v>
      </c>
      <c r="D6" s="31">
        <v>291</v>
      </c>
      <c r="E6" s="32" t="s">
        <v>51</v>
      </c>
    </row>
    <row r="7" spans="1:14" s="33" customFormat="1" x14ac:dyDescent="0.25">
      <c r="A7" s="29">
        <v>100</v>
      </c>
      <c r="B7" s="30">
        <v>10</v>
      </c>
      <c r="C7" s="30">
        <v>1.2</v>
      </c>
      <c r="D7" s="31">
        <v>284</v>
      </c>
      <c r="E7" s="32" t="s">
        <v>52</v>
      </c>
    </row>
    <row r="8" spans="1:14" x14ac:dyDescent="0.25">
      <c r="A8" s="29">
        <v>135</v>
      </c>
      <c r="B8" s="30">
        <v>10</v>
      </c>
      <c r="C8" s="30">
        <v>1.2</v>
      </c>
      <c r="D8" s="31">
        <f>ROUND((ROUND(1.1*(A8+3*B8),0)+10)*C8,0)+50</f>
        <v>280</v>
      </c>
      <c r="E8" s="39" t="s">
        <v>53</v>
      </c>
    </row>
    <row r="9" spans="1:14" s="33" customFormat="1" x14ac:dyDescent="0.25">
      <c r="A9" s="29">
        <v>130</v>
      </c>
      <c r="B9" s="30">
        <v>10</v>
      </c>
      <c r="C9" s="30">
        <v>1.2</v>
      </c>
      <c r="D9" s="31">
        <f>ROUND((ROUND(1.1*(A9+3*B9),0)+10)*C9,0)+50</f>
        <v>273</v>
      </c>
      <c r="E9" s="34" t="s">
        <v>82</v>
      </c>
    </row>
    <row r="10" spans="1:14" x14ac:dyDescent="0.25">
      <c r="A10" s="36">
        <v>40</v>
      </c>
      <c r="B10" s="37">
        <v>10</v>
      </c>
      <c r="C10" s="37">
        <v>1.2</v>
      </c>
      <c r="D10" s="38">
        <v>270</v>
      </c>
      <c r="E10" s="35" t="s">
        <v>83</v>
      </c>
    </row>
    <row r="11" spans="1:14" s="33" customFormat="1" x14ac:dyDescent="0.25">
      <c r="A11" s="29">
        <v>92</v>
      </c>
      <c r="B11" s="30">
        <v>10</v>
      </c>
      <c r="C11" s="30">
        <v>1.2</v>
      </c>
      <c r="D11" s="31">
        <v>268</v>
      </c>
      <c r="E11" s="34" t="s">
        <v>17</v>
      </c>
    </row>
    <row r="12" spans="1:14" s="33" customFormat="1" x14ac:dyDescent="0.25">
      <c r="A12" s="29">
        <v>125</v>
      </c>
      <c r="B12" s="30">
        <v>10</v>
      </c>
      <c r="C12" s="30">
        <v>1.2</v>
      </c>
      <c r="D12" s="31">
        <f>ROUND((ROUND(1.1*(A12+3*B12),0)+10)*C12,0)+50</f>
        <v>267</v>
      </c>
      <c r="E12" s="39" t="s">
        <v>56</v>
      </c>
    </row>
    <row r="13" spans="1:14" s="33" customFormat="1" x14ac:dyDescent="0.25">
      <c r="A13" s="29">
        <v>120</v>
      </c>
      <c r="B13" s="30">
        <v>10</v>
      </c>
      <c r="C13" s="30">
        <v>1.2</v>
      </c>
      <c r="D13" s="31">
        <f>ROUND((ROUND(1.1*(A13+3*B13),0)+10)*C13,0)+50</f>
        <v>260</v>
      </c>
      <c r="E13" s="40" t="s">
        <v>57</v>
      </c>
    </row>
    <row r="14" spans="1:14" x14ac:dyDescent="0.25">
      <c r="A14" s="29">
        <v>115</v>
      </c>
      <c r="B14" s="30">
        <v>10</v>
      </c>
      <c r="C14" s="30">
        <v>1.2</v>
      </c>
      <c r="D14" s="31">
        <f>ROUND((ROUND(1.1*(A14+3*B14),0)+10)*C14,0)+50</f>
        <v>254</v>
      </c>
      <c r="E14" s="39" t="s">
        <v>84</v>
      </c>
    </row>
    <row r="15" spans="1:14" s="33" customFormat="1" x14ac:dyDescent="0.25">
      <c r="A15" s="29">
        <v>110</v>
      </c>
      <c r="B15" s="30">
        <v>10</v>
      </c>
      <c r="C15" s="30">
        <v>1.2</v>
      </c>
      <c r="D15" s="31">
        <f>ROUND((ROUND(1.1*(A15+3*B15),0)+10)*C15,0)+50</f>
        <v>247</v>
      </c>
      <c r="E15" s="34" t="s">
        <v>85</v>
      </c>
    </row>
    <row r="16" spans="1:14" s="33" customFormat="1" x14ac:dyDescent="0.25">
      <c r="A16" s="29">
        <v>70</v>
      </c>
      <c r="B16" s="30">
        <v>10</v>
      </c>
      <c r="C16" s="30">
        <v>1.2</v>
      </c>
      <c r="D16" s="31">
        <v>244</v>
      </c>
      <c r="E16" s="32" t="s">
        <v>60</v>
      </c>
    </row>
    <row r="17" spans="1:5" s="33" customFormat="1" x14ac:dyDescent="0.25">
      <c r="A17" s="29">
        <v>105</v>
      </c>
      <c r="B17" s="30">
        <v>10</v>
      </c>
      <c r="C17" s="30">
        <v>1.2</v>
      </c>
      <c r="D17" s="31">
        <f t="shared" ref="D17:D22" si="0">ROUND((ROUND(1.1*(A17+3*B17),0)+10)*C17,0)+50</f>
        <v>241</v>
      </c>
      <c r="E17" s="34" t="s">
        <v>86</v>
      </c>
    </row>
    <row r="18" spans="1:5" x14ac:dyDescent="0.25">
      <c r="A18" s="29">
        <v>100</v>
      </c>
      <c r="B18" s="30">
        <v>10</v>
      </c>
      <c r="C18" s="30">
        <v>1.2</v>
      </c>
      <c r="D18" s="31">
        <f t="shared" si="0"/>
        <v>234</v>
      </c>
      <c r="E18" s="34" t="s">
        <v>87</v>
      </c>
    </row>
    <row r="19" spans="1:5" s="33" customFormat="1" x14ac:dyDescent="0.25">
      <c r="A19" s="29">
        <v>95</v>
      </c>
      <c r="B19" s="30">
        <v>10</v>
      </c>
      <c r="C19" s="30">
        <v>1.2</v>
      </c>
      <c r="D19" s="31">
        <f t="shared" si="0"/>
        <v>228</v>
      </c>
      <c r="E19" s="34" t="s">
        <v>63</v>
      </c>
    </row>
    <row r="20" spans="1:5" x14ac:dyDescent="0.25">
      <c r="A20" s="29">
        <v>92</v>
      </c>
      <c r="B20" s="30">
        <v>10</v>
      </c>
      <c r="C20" s="30">
        <v>1.2</v>
      </c>
      <c r="D20" s="31">
        <f t="shared" si="0"/>
        <v>223</v>
      </c>
      <c r="E20" s="34" t="s">
        <v>17</v>
      </c>
    </row>
    <row r="21" spans="1:5" s="33" customFormat="1" x14ac:dyDescent="0.25">
      <c r="A21" s="29">
        <v>115</v>
      </c>
      <c r="B21" s="30">
        <v>10</v>
      </c>
      <c r="C21" s="30">
        <v>1</v>
      </c>
      <c r="D21" s="31">
        <f t="shared" si="0"/>
        <v>220</v>
      </c>
      <c r="E21" s="34" t="s">
        <v>84</v>
      </c>
    </row>
    <row r="22" spans="1:5" x14ac:dyDescent="0.25">
      <c r="A22" s="29">
        <v>90</v>
      </c>
      <c r="B22" s="30">
        <v>10</v>
      </c>
      <c r="C22" s="30">
        <v>1.2</v>
      </c>
      <c r="D22" s="31">
        <f t="shared" si="0"/>
        <v>220</v>
      </c>
      <c r="E22" s="39" t="s">
        <v>88</v>
      </c>
    </row>
    <row r="23" spans="1:5" s="33" customFormat="1" x14ac:dyDescent="0.25">
      <c r="A23" s="29">
        <v>70</v>
      </c>
      <c r="B23" s="30">
        <v>10</v>
      </c>
      <c r="C23" s="30">
        <v>1</v>
      </c>
      <c r="D23" s="31">
        <v>220</v>
      </c>
      <c r="E23" s="32" t="s">
        <v>60</v>
      </c>
    </row>
    <row r="24" spans="1:5" x14ac:dyDescent="0.25">
      <c r="A24" s="29">
        <v>110</v>
      </c>
      <c r="B24" s="30">
        <v>10</v>
      </c>
      <c r="C24" s="30">
        <v>1</v>
      </c>
      <c r="D24" s="31">
        <f t="shared" ref="D24:D61" si="1">ROUND((ROUND(1.1*(A24+3*B24),0)+10)*C24,0)+50</f>
        <v>214</v>
      </c>
      <c r="E24" s="34" t="s">
        <v>85</v>
      </c>
    </row>
    <row r="25" spans="1:5" s="33" customFormat="1" x14ac:dyDescent="0.25">
      <c r="A25" s="29">
        <v>85</v>
      </c>
      <c r="B25" s="30">
        <v>10</v>
      </c>
      <c r="C25" s="30">
        <v>1.2</v>
      </c>
      <c r="D25" s="31">
        <f t="shared" si="1"/>
        <v>214</v>
      </c>
      <c r="E25" s="34" t="s">
        <v>89</v>
      </c>
    </row>
    <row r="26" spans="1:5" x14ac:dyDescent="0.25">
      <c r="A26" s="29">
        <v>105</v>
      </c>
      <c r="B26" s="30">
        <v>10</v>
      </c>
      <c r="C26" s="30">
        <v>1</v>
      </c>
      <c r="D26" s="31">
        <f t="shared" si="1"/>
        <v>209</v>
      </c>
      <c r="E26" s="39" t="s">
        <v>86</v>
      </c>
    </row>
    <row r="27" spans="1:5" s="33" customFormat="1" x14ac:dyDescent="0.25">
      <c r="A27" s="29">
        <v>80</v>
      </c>
      <c r="B27" s="30">
        <v>10</v>
      </c>
      <c r="C27" s="30">
        <v>1.2</v>
      </c>
      <c r="D27" s="31">
        <f t="shared" si="1"/>
        <v>207</v>
      </c>
      <c r="E27" s="34" t="s">
        <v>66</v>
      </c>
    </row>
    <row r="28" spans="1:5" x14ac:dyDescent="0.25">
      <c r="A28" s="29">
        <v>100</v>
      </c>
      <c r="B28" s="30">
        <v>10</v>
      </c>
      <c r="C28" s="30">
        <v>1</v>
      </c>
      <c r="D28" s="31">
        <f t="shared" si="1"/>
        <v>203</v>
      </c>
      <c r="E28" s="39" t="s">
        <v>87</v>
      </c>
    </row>
    <row r="29" spans="1:5" s="33" customFormat="1" x14ac:dyDescent="0.25">
      <c r="A29" s="29">
        <v>75</v>
      </c>
      <c r="B29" s="30">
        <v>10</v>
      </c>
      <c r="C29" s="30">
        <v>1.2</v>
      </c>
      <c r="D29" s="31">
        <f t="shared" si="1"/>
        <v>201</v>
      </c>
      <c r="E29" s="34" t="s">
        <v>67</v>
      </c>
    </row>
    <row r="30" spans="1:5" x14ac:dyDescent="0.25">
      <c r="A30" s="29">
        <v>95</v>
      </c>
      <c r="B30" s="30">
        <v>10</v>
      </c>
      <c r="C30" s="30">
        <v>1</v>
      </c>
      <c r="D30" s="31">
        <f t="shared" si="1"/>
        <v>198</v>
      </c>
      <c r="E30" s="39" t="s">
        <v>63</v>
      </c>
    </row>
    <row r="31" spans="1:5" s="33" customFormat="1" x14ac:dyDescent="0.25">
      <c r="A31" s="29">
        <v>70</v>
      </c>
      <c r="B31" s="30">
        <v>10</v>
      </c>
      <c r="C31" s="30">
        <v>1.2</v>
      </c>
      <c r="D31" s="31">
        <f t="shared" si="1"/>
        <v>194</v>
      </c>
      <c r="E31" s="34" t="s">
        <v>90</v>
      </c>
    </row>
    <row r="32" spans="1:5" x14ac:dyDescent="0.25">
      <c r="A32" s="29">
        <v>90</v>
      </c>
      <c r="B32" s="30">
        <v>10</v>
      </c>
      <c r="C32" s="30">
        <v>1</v>
      </c>
      <c r="D32" s="31">
        <f t="shared" si="1"/>
        <v>192</v>
      </c>
      <c r="E32" s="34" t="s">
        <v>88</v>
      </c>
    </row>
    <row r="33" spans="1:5" s="33" customFormat="1" x14ac:dyDescent="0.25">
      <c r="A33" s="29">
        <v>65</v>
      </c>
      <c r="B33" s="30">
        <v>10</v>
      </c>
      <c r="C33" s="30">
        <v>1.2</v>
      </c>
      <c r="D33" s="31">
        <f t="shared" si="1"/>
        <v>188</v>
      </c>
      <c r="E33" s="34" t="s">
        <v>91</v>
      </c>
    </row>
    <row r="34" spans="1:5" x14ac:dyDescent="0.25">
      <c r="A34" s="29">
        <v>115</v>
      </c>
      <c r="B34" s="30">
        <v>0</v>
      </c>
      <c r="C34" s="30">
        <v>1</v>
      </c>
      <c r="D34" s="31">
        <f t="shared" si="1"/>
        <v>187</v>
      </c>
      <c r="E34" s="39" t="s">
        <v>84</v>
      </c>
    </row>
    <row r="35" spans="1:5" s="33" customFormat="1" x14ac:dyDescent="0.25">
      <c r="A35" s="29">
        <v>85</v>
      </c>
      <c r="B35" s="30">
        <v>10</v>
      </c>
      <c r="C35" s="30">
        <v>1</v>
      </c>
      <c r="D35" s="31">
        <f t="shared" si="1"/>
        <v>187</v>
      </c>
      <c r="E35" s="34" t="s">
        <v>89</v>
      </c>
    </row>
    <row r="36" spans="1:5" x14ac:dyDescent="0.25">
      <c r="A36" s="29">
        <v>110</v>
      </c>
      <c r="B36" s="30">
        <v>0</v>
      </c>
      <c r="C36" s="30">
        <v>1</v>
      </c>
      <c r="D36" s="31">
        <f t="shared" si="1"/>
        <v>181</v>
      </c>
      <c r="E36" s="39" t="s">
        <v>85</v>
      </c>
    </row>
    <row r="37" spans="1:5" s="33" customFormat="1" x14ac:dyDescent="0.25">
      <c r="A37" s="29">
        <v>80</v>
      </c>
      <c r="B37" s="30">
        <v>10</v>
      </c>
      <c r="C37" s="30">
        <v>1</v>
      </c>
      <c r="D37" s="31">
        <f t="shared" si="1"/>
        <v>181</v>
      </c>
      <c r="E37" s="34" t="s">
        <v>66</v>
      </c>
    </row>
    <row r="38" spans="1:5" x14ac:dyDescent="0.25">
      <c r="A38" s="29">
        <v>60</v>
      </c>
      <c r="B38" s="30">
        <v>10</v>
      </c>
      <c r="C38" s="30">
        <v>1.2</v>
      </c>
      <c r="D38" s="31">
        <f t="shared" si="1"/>
        <v>181</v>
      </c>
      <c r="E38" s="39" t="s">
        <v>92</v>
      </c>
    </row>
    <row r="39" spans="1:5" s="33" customFormat="1" x14ac:dyDescent="0.25">
      <c r="A39" s="29">
        <v>105</v>
      </c>
      <c r="B39" s="30">
        <v>0</v>
      </c>
      <c r="C39" s="30">
        <v>1</v>
      </c>
      <c r="D39" s="31">
        <f t="shared" si="1"/>
        <v>176</v>
      </c>
      <c r="E39" s="34" t="s">
        <v>86</v>
      </c>
    </row>
    <row r="40" spans="1:5" x14ac:dyDescent="0.25">
      <c r="A40" s="29">
        <v>75</v>
      </c>
      <c r="B40" s="30">
        <v>10</v>
      </c>
      <c r="C40" s="30">
        <v>1</v>
      </c>
      <c r="D40" s="31">
        <f t="shared" si="1"/>
        <v>176</v>
      </c>
      <c r="E40" s="34" t="s">
        <v>67</v>
      </c>
    </row>
    <row r="41" spans="1:5" s="33" customFormat="1" x14ac:dyDescent="0.25">
      <c r="A41" s="29">
        <v>55</v>
      </c>
      <c r="B41" s="30">
        <v>10</v>
      </c>
      <c r="C41" s="30">
        <v>1.2</v>
      </c>
      <c r="D41" s="31">
        <f t="shared" si="1"/>
        <v>175</v>
      </c>
      <c r="E41" s="34" t="s">
        <v>93</v>
      </c>
    </row>
    <row r="42" spans="1:5" x14ac:dyDescent="0.25">
      <c r="A42" s="29">
        <v>100</v>
      </c>
      <c r="B42" s="30">
        <v>0</v>
      </c>
      <c r="C42" s="30">
        <v>1</v>
      </c>
      <c r="D42" s="31">
        <f t="shared" si="1"/>
        <v>170</v>
      </c>
      <c r="E42" s="39" t="s">
        <v>87</v>
      </c>
    </row>
    <row r="43" spans="1:5" s="33" customFormat="1" x14ac:dyDescent="0.25">
      <c r="A43" s="29">
        <v>70</v>
      </c>
      <c r="B43" s="30">
        <v>10</v>
      </c>
      <c r="C43" s="30">
        <v>1</v>
      </c>
      <c r="D43" s="31">
        <f t="shared" si="1"/>
        <v>170</v>
      </c>
      <c r="E43" s="34" t="s">
        <v>90</v>
      </c>
    </row>
    <row r="44" spans="1:5" x14ac:dyDescent="0.25">
      <c r="A44" s="29">
        <v>95</v>
      </c>
      <c r="B44" s="30">
        <v>0</v>
      </c>
      <c r="C44" s="30">
        <v>1</v>
      </c>
      <c r="D44" s="31">
        <f t="shared" si="1"/>
        <v>165</v>
      </c>
      <c r="E44" s="39" t="s">
        <v>63</v>
      </c>
    </row>
    <row r="45" spans="1:5" s="33" customFormat="1" x14ac:dyDescent="0.25">
      <c r="A45" s="29">
        <v>65</v>
      </c>
      <c r="B45" s="30">
        <v>10</v>
      </c>
      <c r="C45" s="30">
        <v>1</v>
      </c>
      <c r="D45" s="31">
        <f t="shared" si="1"/>
        <v>165</v>
      </c>
      <c r="E45" s="34" t="s">
        <v>91</v>
      </c>
    </row>
    <row r="46" spans="1:5" x14ac:dyDescent="0.25">
      <c r="A46" s="29">
        <v>90</v>
      </c>
      <c r="B46" s="30">
        <v>0</v>
      </c>
      <c r="C46" s="30">
        <v>1</v>
      </c>
      <c r="D46" s="31">
        <f t="shared" si="1"/>
        <v>159</v>
      </c>
      <c r="E46" s="34" t="s">
        <v>88</v>
      </c>
    </row>
    <row r="47" spans="1:5" x14ac:dyDescent="0.25">
      <c r="A47" s="29">
        <v>60</v>
      </c>
      <c r="B47" s="30">
        <v>10</v>
      </c>
      <c r="C47" s="30">
        <v>1</v>
      </c>
      <c r="D47" s="31">
        <f t="shared" si="1"/>
        <v>159</v>
      </c>
      <c r="E47" s="34" t="s">
        <v>92</v>
      </c>
    </row>
    <row r="48" spans="1:5" s="33" customFormat="1" x14ac:dyDescent="0.25">
      <c r="A48" s="29">
        <v>44</v>
      </c>
      <c r="B48" s="30">
        <v>10</v>
      </c>
      <c r="C48" s="30">
        <v>1.2</v>
      </c>
      <c r="D48" s="31">
        <f t="shared" si="1"/>
        <v>159</v>
      </c>
      <c r="E48" s="34" t="s">
        <v>73</v>
      </c>
    </row>
    <row r="49" spans="1:5" x14ac:dyDescent="0.25">
      <c r="A49" s="36">
        <v>85</v>
      </c>
      <c r="B49" s="37">
        <v>0</v>
      </c>
      <c r="C49" s="37">
        <v>1</v>
      </c>
      <c r="D49" s="38">
        <f t="shared" si="1"/>
        <v>154</v>
      </c>
      <c r="E49" s="39" t="s">
        <v>89</v>
      </c>
    </row>
    <row r="50" spans="1:5" s="33" customFormat="1" x14ac:dyDescent="0.25">
      <c r="A50" s="29">
        <v>55</v>
      </c>
      <c r="B50" s="30">
        <v>10</v>
      </c>
      <c r="C50" s="30">
        <v>1</v>
      </c>
      <c r="D50" s="31">
        <f t="shared" si="1"/>
        <v>154</v>
      </c>
      <c r="E50" s="34" t="s">
        <v>93</v>
      </c>
    </row>
    <row r="51" spans="1:5" x14ac:dyDescent="0.25">
      <c r="A51" s="41">
        <v>80</v>
      </c>
      <c r="B51" s="42">
        <v>0</v>
      </c>
      <c r="C51" s="42">
        <v>1</v>
      </c>
      <c r="D51" s="43">
        <f t="shared" si="1"/>
        <v>148</v>
      </c>
      <c r="E51" s="39" t="s">
        <v>66</v>
      </c>
    </row>
    <row r="52" spans="1:5" s="33" customFormat="1" x14ac:dyDescent="0.25">
      <c r="A52" s="29">
        <v>50</v>
      </c>
      <c r="B52" s="30">
        <v>10</v>
      </c>
      <c r="C52" s="30">
        <v>1</v>
      </c>
      <c r="D52" s="31">
        <f t="shared" si="1"/>
        <v>148</v>
      </c>
      <c r="E52" s="34" t="s">
        <v>94</v>
      </c>
    </row>
    <row r="53" spans="1:5" x14ac:dyDescent="0.25">
      <c r="A53" s="29">
        <v>75</v>
      </c>
      <c r="B53" s="30">
        <v>0</v>
      </c>
      <c r="C53" s="30">
        <v>1</v>
      </c>
      <c r="D53" s="31">
        <f t="shared" si="1"/>
        <v>143</v>
      </c>
      <c r="E53" s="34" t="s">
        <v>67</v>
      </c>
    </row>
    <row r="54" spans="1:5" s="33" customFormat="1" x14ac:dyDescent="0.25">
      <c r="A54" s="29">
        <v>70</v>
      </c>
      <c r="B54" s="30">
        <v>0</v>
      </c>
      <c r="C54" s="30">
        <v>1</v>
      </c>
      <c r="D54" s="31">
        <f t="shared" si="1"/>
        <v>137</v>
      </c>
      <c r="E54" s="34" t="s">
        <v>90</v>
      </c>
    </row>
    <row r="55" spans="1:5" x14ac:dyDescent="0.25">
      <c r="A55" s="29">
        <v>65</v>
      </c>
      <c r="B55" s="30">
        <v>0</v>
      </c>
      <c r="C55" s="30">
        <v>1</v>
      </c>
      <c r="D55" s="31">
        <f t="shared" si="1"/>
        <v>132</v>
      </c>
      <c r="E55" s="39" t="s">
        <v>91</v>
      </c>
    </row>
    <row r="56" spans="1:5" s="33" customFormat="1" x14ac:dyDescent="0.25">
      <c r="A56" s="29">
        <v>60</v>
      </c>
      <c r="B56" s="30">
        <v>0</v>
      </c>
      <c r="C56" s="30">
        <v>1</v>
      </c>
      <c r="D56" s="31">
        <f t="shared" si="1"/>
        <v>126</v>
      </c>
      <c r="E56" s="34" t="s">
        <v>92</v>
      </c>
    </row>
    <row r="57" spans="1:5" x14ac:dyDescent="0.25">
      <c r="A57" s="29">
        <v>55</v>
      </c>
      <c r="B57" s="30">
        <v>0</v>
      </c>
      <c r="C57" s="30">
        <v>1</v>
      </c>
      <c r="D57" s="31">
        <f t="shared" si="1"/>
        <v>121</v>
      </c>
      <c r="E57" s="39" t="s">
        <v>93</v>
      </c>
    </row>
    <row r="58" spans="1:5" x14ac:dyDescent="0.25">
      <c r="A58" s="29">
        <v>50</v>
      </c>
      <c r="B58" s="30">
        <v>0</v>
      </c>
      <c r="C58" s="30">
        <v>1</v>
      </c>
      <c r="D58" s="31">
        <f t="shared" si="1"/>
        <v>115</v>
      </c>
      <c r="E58" s="34" t="s">
        <v>94</v>
      </c>
    </row>
    <row r="59" spans="1:5" s="33" customFormat="1" x14ac:dyDescent="0.25">
      <c r="A59" s="56"/>
      <c r="B59" s="56">
        <v>10</v>
      </c>
      <c r="C59" s="56">
        <v>1.2</v>
      </c>
      <c r="D59" s="56">
        <f t="shared" si="1"/>
        <v>102</v>
      </c>
      <c r="E59" s="56"/>
    </row>
    <row r="60" spans="1:5" x14ac:dyDescent="0.25">
      <c r="A60" s="57"/>
      <c r="B60" s="57">
        <v>10</v>
      </c>
      <c r="C60" s="57">
        <v>1</v>
      </c>
      <c r="D60" s="57">
        <f t="shared" si="1"/>
        <v>93</v>
      </c>
      <c r="E60" s="69"/>
    </row>
    <row r="61" spans="1:5" s="33" customFormat="1" x14ac:dyDescent="0.25">
      <c r="A61" s="56"/>
      <c r="B61" s="56">
        <v>0</v>
      </c>
      <c r="C61" s="56">
        <v>1</v>
      </c>
      <c r="D61" s="56">
        <f t="shared" si="1"/>
        <v>60</v>
      </c>
      <c r="E61" s="56"/>
    </row>
    <row r="62" spans="1:5" x14ac:dyDescent="0.25">
      <c r="A62" s="26" t="s">
        <v>95</v>
      </c>
      <c r="B62" s="49" t="s">
        <v>123</v>
      </c>
      <c r="C62" s="26"/>
      <c r="D62" s="26"/>
    </row>
    <row r="63" spans="1:5" x14ac:dyDescent="0.25">
      <c r="A63" s="26"/>
      <c r="B63" s="49"/>
      <c r="C63" s="26"/>
      <c r="D63" s="26"/>
    </row>
    <row r="64" spans="1:5" x14ac:dyDescent="0.25">
      <c r="A64" s="26"/>
      <c r="B64" s="49"/>
      <c r="C64" s="26"/>
      <c r="D64" s="26"/>
    </row>
    <row r="65" spans="2:2" s="26" customFormat="1" x14ac:dyDescent="0.25">
      <c r="B65" s="49"/>
    </row>
    <row r="66" spans="2:2" s="26" customFormat="1" x14ac:dyDescent="0.25">
      <c r="B66" s="49"/>
    </row>
    <row r="67" spans="2:2" s="26" customFormat="1" x14ac:dyDescent="0.25"/>
    <row r="68" spans="2:2" s="26" customFormat="1" x14ac:dyDescent="0.25"/>
    <row r="69" spans="2:2" s="26" customFormat="1" x14ac:dyDescent="0.25"/>
    <row r="70" spans="2:2" s="26" customFormat="1" x14ac:dyDescent="0.25"/>
    <row r="71" spans="2:2" s="26" customFormat="1" x14ac:dyDescent="0.25"/>
    <row r="72" spans="2:2" s="26" customFormat="1" x14ac:dyDescent="0.25"/>
    <row r="73" spans="2:2" s="26" customFormat="1" x14ac:dyDescent="0.25"/>
    <row r="74" spans="2:2" s="26" customFormat="1" x14ac:dyDescent="0.25"/>
    <row r="75" spans="2:2" s="26" customFormat="1" x14ac:dyDescent="0.25"/>
    <row r="76" spans="2:2" s="26" customFormat="1" x14ac:dyDescent="0.25"/>
    <row r="77" spans="2:2" s="26" customFormat="1" x14ac:dyDescent="0.25"/>
    <row r="78" spans="2:2" s="26" customFormat="1" x14ac:dyDescent="0.25"/>
    <row r="79" spans="2:2" s="26" customFormat="1" x14ac:dyDescent="0.25"/>
    <row r="80" spans="2:2" s="26" customFormat="1" x14ac:dyDescent="0.25"/>
    <row r="81" s="26" customFormat="1" x14ac:dyDescent="0.25"/>
    <row r="82" s="26" customFormat="1" x14ac:dyDescent="0.25"/>
    <row r="83" s="26" customFormat="1" x14ac:dyDescent="0.25"/>
    <row r="84" s="26" customFormat="1" x14ac:dyDescent="0.25"/>
    <row r="85" s="26" customFormat="1" x14ac:dyDescent="0.25"/>
    <row r="86" s="26" customFormat="1" x14ac:dyDescent="0.25"/>
    <row r="87" s="26" customFormat="1" x14ac:dyDescent="0.25"/>
    <row r="88" s="26" customFormat="1" x14ac:dyDescent="0.25"/>
    <row r="89" s="26" customFormat="1" x14ac:dyDescent="0.25"/>
    <row r="90" s="26" customFormat="1" x14ac:dyDescent="0.25"/>
    <row r="91" s="26" customFormat="1" x14ac:dyDescent="0.25"/>
    <row r="92" s="26" customFormat="1" x14ac:dyDescent="0.25"/>
    <row r="93" s="26" customFormat="1" x14ac:dyDescent="0.25"/>
    <row r="94" s="26" customFormat="1" x14ac:dyDescent="0.25"/>
    <row r="95" s="26" customFormat="1" x14ac:dyDescent="0.25"/>
    <row r="96" s="26" customFormat="1" x14ac:dyDescent="0.25"/>
    <row r="97" s="26" customFormat="1" x14ac:dyDescent="0.25"/>
    <row r="98" s="26" customFormat="1" x14ac:dyDescent="0.25"/>
    <row r="99" s="26" customFormat="1" x14ac:dyDescent="0.25"/>
    <row r="100" s="26" customFormat="1" x14ac:dyDescent="0.25"/>
    <row r="101" s="26" customFormat="1" x14ac:dyDescent="0.25"/>
    <row r="102" s="26" customFormat="1" x14ac:dyDescent="0.25"/>
    <row r="103" s="26" customFormat="1" x14ac:dyDescent="0.25"/>
    <row r="104" s="26" customFormat="1" x14ac:dyDescent="0.25"/>
    <row r="105" s="26" customFormat="1" x14ac:dyDescent="0.25"/>
    <row r="106" s="26" customFormat="1" x14ac:dyDescent="0.25"/>
    <row r="107" s="26" customFormat="1" x14ac:dyDescent="0.25"/>
    <row r="108" s="26" customFormat="1" x14ac:dyDescent="0.25"/>
    <row r="109" s="26" customFormat="1" x14ac:dyDescent="0.25"/>
    <row r="110" s="26" customFormat="1" x14ac:dyDescent="0.25"/>
    <row r="111" s="26" customFormat="1" x14ac:dyDescent="0.25"/>
    <row r="112" s="26" customFormat="1" x14ac:dyDescent="0.25"/>
    <row r="113" s="26" customFormat="1" x14ac:dyDescent="0.25"/>
    <row r="114" s="26" customFormat="1" x14ac:dyDescent="0.25"/>
    <row r="115" s="26" customFormat="1" x14ac:dyDescent="0.25"/>
    <row r="116" s="26" customFormat="1" x14ac:dyDescent="0.25"/>
    <row r="117" s="26" customFormat="1" x14ac:dyDescent="0.25"/>
    <row r="118" s="26" customFormat="1" x14ac:dyDescent="0.25"/>
    <row r="119" s="26" customFormat="1" x14ac:dyDescent="0.25"/>
    <row r="120" s="26" customFormat="1" x14ac:dyDescent="0.25"/>
    <row r="121" s="26" customFormat="1" x14ac:dyDescent="0.25"/>
    <row r="122" s="26" customFormat="1" x14ac:dyDescent="0.25"/>
    <row r="123" s="26" customFormat="1" x14ac:dyDescent="0.25"/>
    <row r="124" s="26" customFormat="1" x14ac:dyDescent="0.25"/>
    <row r="125" s="26" customFormat="1" x14ac:dyDescent="0.25"/>
    <row r="126" s="26" customFormat="1" x14ac:dyDescent="0.25"/>
    <row r="127" s="26" customFormat="1" x14ac:dyDescent="0.25"/>
    <row r="128" s="26" customFormat="1" x14ac:dyDescent="0.25"/>
    <row r="129" s="26" customFormat="1" x14ac:dyDescent="0.25"/>
    <row r="130" s="26" customFormat="1" x14ac:dyDescent="0.25"/>
    <row r="131" s="26" customFormat="1" x14ac:dyDescent="0.25"/>
    <row r="132" s="26" customFormat="1" x14ac:dyDescent="0.25"/>
    <row r="133" s="26" customFormat="1" x14ac:dyDescent="0.25"/>
    <row r="134" s="26" customFormat="1" x14ac:dyDescent="0.25"/>
    <row r="135" s="26" customFormat="1" x14ac:dyDescent="0.25"/>
    <row r="136" s="26" customFormat="1" x14ac:dyDescent="0.25"/>
    <row r="137" s="26" customFormat="1" x14ac:dyDescent="0.25"/>
    <row r="138" s="26" customFormat="1" x14ac:dyDescent="0.25"/>
    <row r="139" s="26" customFormat="1" x14ac:dyDescent="0.25"/>
    <row r="140" s="26" customFormat="1" x14ac:dyDescent="0.25"/>
    <row r="141" s="26" customFormat="1" x14ac:dyDescent="0.25"/>
    <row r="142" s="26" customFormat="1" x14ac:dyDescent="0.25"/>
    <row r="143" s="26" customFormat="1" x14ac:dyDescent="0.25"/>
    <row r="144" s="26" customFormat="1" x14ac:dyDescent="0.25"/>
    <row r="145" s="26" customFormat="1" x14ac:dyDescent="0.25"/>
    <row r="146" s="26" customFormat="1" x14ac:dyDescent="0.25"/>
    <row r="147" s="26" customFormat="1" x14ac:dyDescent="0.25"/>
    <row r="148" s="26" customFormat="1" x14ac:dyDescent="0.25"/>
    <row r="149" s="26" customFormat="1" x14ac:dyDescent="0.25"/>
    <row r="150" s="26" customFormat="1" x14ac:dyDescent="0.25"/>
    <row r="151" s="26" customFormat="1" x14ac:dyDescent="0.25"/>
    <row r="152" s="26" customFormat="1" x14ac:dyDescent="0.25"/>
    <row r="153" s="26" customFormat="1" x14ac:dyDescent="0.25"/>
    <row r="154" s="26" customFormat="1" x14ac:dyDescent="0.25"/>
    <row r="155" s="26" customFormat="1" x14ac:dyDescent="0.25"/>
    <row r="156" s="26" customFormat="1" x14ac:dyDescent="0.25"/>
    <row r="157" s="26" customFormat="1" x14ac:dyDescent="0.25"/>
    <row r="158" s="26" customFormat="1" x14ac:dyDescent="0.25"/>
    <row r="159" s="26" customFormat="1" x14ac:dyDescent="0.25"/>
    <row r="160" s="26" customFormat="1" x14ac:dyDescent="0.25"/>
    <row r="161" s="26" customFormat="1" x14ac:dyDescent="0.25"/>
    <row r="162" s="26" customFormat="1" x14ac:dyDescent="0.25"/>
    <row r="163" s="26" customFormat="1" x14ac:dyDescent="0.25"/>
    <row r="164" s="26" customFormat="1" x14ac:dyDescent="0.25"/>
    <row r="165" s="26" customFormat="1" x14ac:dyDescent="0.25"/>
    <row r="166" s="26" customFormat="1" x14ac:dyDescent="0.25"/>
    <row r="167" s="26" customFormat="1" x14ac:dyDescent="0.25"/>
    <row r="168" s="26" customFormat="1" x14ac:dyDescent="0.25"/>
    <row r="169" s="26" customFormat="1" x14ac:dyDescent="0.25"/>
    <row r="170" s="26" customFormat="1" x14ac:dyDescent="0.25"/>
    <row r="171" s="26" customFormat="1" x14ac:dyDescent="0.25"/>
    <row r="172" s="26" customFormat="1" x14ac:dyDescent="0.25"/>
    <row r="173" s="26" customFormat="1" x14ac:dyDescent="0.25"/>
    <row r="174" s="26" customFormat="1" x14ac:dyDescent="0.25"/>
    <row r="175" s="26" customFormat="1" x14ac:dyDescent="0.25"/>
    <row r="176" s="26" customFormat="1" x14ac:dyDescent="0.25"/>
    <row r="177" s="26" customFormat="1" x14ac:dyDescent="0.25"/>
    <row r="178" s="26" customFormat="1" x14ac:dyDescent="0.25"/>
    <row r="179" s="26" customFormat="1" x14ac:dyDescent="0.25"/>
    <row r="180" s="26" customFormat="1" x14ac:dyDescent="0.25"/>
    <row r="181" s="26" customFormat="1" x14ac:dyDescent="0.25"/>
    <row r="182" s="26" customFormat="1" x14ac:dyDescent="0.25"/>
    <row r="183" s="26" customFormat="1" x14ac:dyDescent="0.25"/>
    <row r="184" s="26" customFormat="1" x14ac:dyDescent="0.25"/>
    <row r="185" s="26" customFormat="1" x14ac:dyDescent="0.25"/>
    <row r="186" s="26" customFormat="1" x14ac:dyDescent="0.25"/>
    <row r="187" s="26" customFormat="1" x14ac:dyDescent="0.25"/>
    <row r="188" s="26" customFormat="1" x14ac:dyDescent="0.25"/>
    <row r="189" s="26" customFormat="1" x14ac:dyDescent="0.25"/>
    <row r="190" s="26" customFormat="1" x14ac:dyDescent="0.25"/>
    <row r="191" s="26" customFormat="1" x14ac:dyDescent="0.25"/>
    <row r="192" s="26" customFormat="1" x14ac:dyDescent="0.25"/>
    <row r="193" s="26" customFormat="1" x14ac:dyDescent="0.25"/>
    <row r="194" s="26" customFormat="1" x14ac:dyDescent="0.25"/>
    <row r="195" s="26" customFormat="1" x14ac:dyDescent="0.25"/>
    <row r="196" s="26" customFormat="1" x14ac:dyDescent="0.25"/>
    <row r="197" s="26" customFormat="1" x14ac:dyDescent="0.25"/>
    <row r="198" s="26" customFormat="1" x14ac:dyDescent="0.25"/>
    <row r="199" s="26" customFormat="1" x14ac:dyDescent="0.25"/>
    <row r="200" s="26" customFormat="1" x14ac:dyDescent="0.25"/>
    <row r="201" s="26" customFormat="1" x14ac:dyDescent="0.25"/>
    <row r="202" s="26" customFormat="1" x14ac:dyDescent="0.25"/>
    <row r="203" s="26" customFormat="1" x14ac:dyDescent="0.25"/>
    <row r="204" s="26" customFormat="1" x14ac:dyDescent="0.25"/>
    <row r="205" s="26" customFormat="1" x14ac:dyDescent="0.25"/>
    <row r="206" s="26" customFormat="1" x14ac:dyDescent="0.25"/>
    <row r="207" s="26" customFormat="1" x14ac:dyDescent="0.25"/>
    <row r="208" s="26" customFormat="1" x14ac:dyDescent="0.25"/>
    <row r="209" s="26" customFormat="1" x14ac:dyDescent="0.25"/>
    <row r="210" s="26" customFormat="1" x14ac:dyDescent="0.25"/>
    <row r="211" s="26" customFormat="1" x14ac:dyDescent="0.25"/>
    <row r="212" s="26" customFormat="1" x14ac:dyDescent="0.25"/>
    <row r="213" s="26" customFormat="1" x14ac:dyDescent="0.25"/>
    <row r="214" s="26" customFormat="1" x14ac:dyDescent="0.25"/>
    <row r="215" s="26" customFormat="1" x14ac:dyDescent="0.25"/>
    <row r="216" s="26" customFormat="1" x14ac:dyDescent="0.25"/>
    <row r="217" s="26" customFormat="1" x14ac:dyDescent="0.25"/>
    <row r="218" s="26" customFormat="1" x14ac:dyDescent="0.25"/>
    <row r="219" s="26" customFormat="1" x14ac:dyDescent="0.25"/>
    <row r="220" s="26" customFormat="1" x14ac:dyDescent="0.25"/>
    <row r="221" s="26" customFormat="1" x14ac:dyDescent="0.25"/>
    <row r="222" s="26" customFormat="1" x14ac:dyDescent="0.25"/>
    <row r="223" s="26" customFormat="1" x14ac:dyDescent="0.25"/>
    <row r="224" s="26" customFormat="1" x14ac:dyDescent="0.25"/>
    <row r="225" s="26" customFormat="1" x14ac:dyDescent="0.25"/>
    <row r="226" s="26" customFormat="1" x14ac:dyDescent="0.25"/>
    <row r="227" s="26" customFormat="1" x14ac:dyDescent="0.25"/>
    <row r="228" s="26" customFormat="1" x14ac:dyDescent="0.25"/>
    <row r="229" s="26" customFormat="1" x14ac:dyDescent="0.25"/>
    <row r="230" s="26" customFormat="1" x14ac:dyDescent="0.25"/>
    <row r="231" s="26" customFormat="1" x14ac:dyDescent="0.25"/>
    <row r="232" s="26" customFormat="1" x14ac:dyDescent="0.25"/>
    <row r="233" s="26" customFormat="1" x14ac:dyDescent="0.25"/>
    <row r="234" s="26" customFormat="1" x14ac:dyDescent="0.25"/>
    <row r="235" s="26" customFormat="1" x14ac:dyDescent="0.25"/>
    <row r="236" s="26" customFormat="1" x14ac:dyDescent="0.25"/>
    <row r="237" s="26" customFormat="1" x14ac:dyDescent="0.25"/>
    <row r="238" s="26" customFormat="1" x14ac:dyDescent="0.25"/>
    <row r="239" s="26" customFormat="1" x14ac:dyDescent="0.25"/>
    <row r="240" s="26" customFormat="1" x14ac:dyDescent="0.25"/>
    <row r="241" s="26" customFormat="1" x14ac:dyDescent="0.25"/>
    <row r="242" s="26" customFormat="1" x14ac:dyDescent="0.25"/>
    <row r="243" s="26" customFormat="1" x14ac:dyDescent="0.25"/>
    <row r="244" s="26" customFormat="1" x14ac:dyDescent="0.25"/>
    <row r="245" s="26" customFormat="1" x14ac:dyDescent="0.25"/>
    <row r="246" s="26" customFormat="1" x14ac:dyDescent="0.25"/>
    <row r="247" s="26" customFormat="1" x14ac:dyDescent="0.25"/>
    <row r="248" s="26" customFormat="1" x14ac:dyDescent="0.25"/>
    <row r="249" s="26" customFormat="1" x14ac:dyDescent="0.25"/>
    <row r="250" s="26" customFormat="1" x14ac:dyDescent="0.25"/>
    <row r="251" s="26" customFormat="1" x14ac:dyDescent="0.25"/>
    <row r="252" s="26" customFormat="1" x14ac:dyDescent="0.25"/>
    <row r="253" s="26" customFormat="1" x14ac:dyDescent="0.25"/>
    <row r="254" s="26" customFormat="1" x14ac:dyDescent="0.25"/>
    <row r="255" s="26" customFormat="1" x14ac:dyDescent="0.25"/>
    <row r="256" s="26" customFormat="1" x14ac:dyDescent="0.25"/>
    <row r="257" s="26" customFormat="1" x14ac:dyDescent="0.25"/>
    <row r="258" s="26" customFormat="1" x14ac:dyDescent="0.25"/>
    <row r="259" s="26" customFormat="1" x14ac:dyDescent="0.25"/>
    <row r="260" s="26" customFormat="1" x14ac:dyDescent="0.25"/>
    <row r="261" s="26" customFormat="1" x14ac:dyDescent="0.25"/>
    <row r="262" s="26" customFormat="1" x14ac:dyDescent="0.25"/>
    <row r="263" s="26" customFormat="1" x14ac:dyDescent="0.25"/>
    <row r="264" s="26" customFormat="1" x14ac:dyDescent="0.25"/>
    <row r="265" s="26" customFormat="1" x14ac:dyDescent="0.25"/>
    <row r="266" s="26" customFormat="1" x14ac:dyDescent="0.25"/>
    <row r="267" s="26" customFormat="1" x14ac:dyDescent="0.25"/>
    <row r="268" s="26" customFormat="1" x14ac:dyDescent="0.25"/>
    <row r="269" s="26" customFormat="1" x14ac:dyDescent="0.25"/>
    <row r="270" s="26" customFormat="1" x14ac:dyDescent="0.25"/>
    <row r="271" s="26" customFormat="1" x14ac:dyDescent="0.25"/>
    <row r="272" s="26" customFormat="1" x14ac:dyDescent="0.25"/>
    <row r="273" s="26" customFormat="1" x14ac:dyDescent="0.25"/>
    <row r="274" s="26" customFormat="1" x14ac:dyDescent="0.25"/>
    <row r="275" s="26" customFormat="1" x14ac:dyDescent="0.25"/>
    <row r="276" s="26" customFormat="1" x14ac:dyDescent="0.25"/>
    <row r="277" s="26" customFormat="1" x14ac:dyDescent="0.25"/>
    <row r="278" s="26" customFormat="1" x14ac:dyDescent="0.25"/>
    <row r="279" s="26" customFormat="1" x14ac:dyDescent="0.25"/>
    <row r="280" s="26" customFormat="1" x14ac:dyDescent="0.25"/>
    <row r="281" s="26" customFormat="1" x14ac:dyDescent="0.25"/>
    <row r="282" s="26" customFormat="1" x14ac:dyDescent="0.25"/>
    <row r="283" s="26" customFormat="1" x14ac:dyDescent="0.25"/>
    <row r="284" s="26" customFormat="1" x14ac:dyDescent="0.25"/>
    <row r="285" s="26" customFormat="1" x14ac:dyDescent="0.25"/>
    <row r="286" s="26" customFormat="1" x14ac:dyDescent="0.25"/>
    <row r="287" s="26" customFormat="1" x14ac:dyDescent="0.25"/>
    <row r="288" s="26" customFormat="1" x14ac:dyDescent="0.25"/>
    <row r="289" s="26" customFormat="1" x14ac:dyDescent="0.25"/>
    <row r="290" s="26" customFormat="1" x14ac:dyDescent="0.25"/>
    <row r="291" s="26" customFormat="1" x14ac:dyDescent="0.25"/>
    <row r="292" s="26" customFormat="1" x14ac:dyDescent="0.25"/>
    <row r="293" s="26" customFormat="1" x14ac:dyDescent="0.25"/>
    <row r="294" s="26" customFormat="1" x14ac:dyDescent="0.25"/>
    <row r="295" s="26" customFormat="1" x14ac:dyDescent="0.25"/>
    <row r="296" s="26" customFormat="1" x14ac:dyDescent="0.25"/>
    <row r="297" s="26" customFormat="1" x14ac:dyDescent="0.25"/>
    <row r="298" s="26" customFormat="1" x14ac:dyDescent="0.25"/>
    <row r="299" s="26" customFormat="1" x14ac:dyDescent="0.25"/>
    <row r="300" s="26" customFormat="1" x14ac:dyDescent="0.25"/>
    <row r="301" s="26" customFormat="1" x14ac:dyDescent="0.25"/>
    <row r="302" s="26" customFormat="1" x14ac:dyDescent="0.25"/>
    <row r="303" s="26" customFormat="1" x14ac:dyDescent="0.25"/>
    <row r="304" s="26" customFormat="1" x14ac:dyDescent="0.25"/>
    <row r="305" s="26" customFormat="1" x14ac:dyDescent="0.25"/>
    <row r="306" s="26" customFormat="1" x14ac:dyDescent="0.25"/>
    <row r="307" s="26" customFormat="1" x14ac:dyDescent="0.25"/>
    <row r="308" s="26" customFormat="1" x14ac:dyDescent="0.25"/>
    <row r="309" s="26" customFormat="1" x14ac:dyDescent="0.25"/>
    <row r="310" s="26" customFormat="1" x14ac:dyDescent="0.25"/>
    <row r="311" s="26" customFormat="1" x14ac:dyDescent="0.25"/>
    <row r="312" s="26" customFormat="1" x14ac:dyDescent="0.25"/>
    <row r="313" s="26" customFormat="1" x14ac:dyDescent="0.25"/>
    <row r="314" s="26" customFormat="1" x14ac:dyDescent="0.25"/>
    <row r="315" s="26" customFormat="1" x14ac:dyDescent="0.25"/>
    <row r="316" s="26" customFormat="1" x14ac:dyDescent="0.25"/>
    <row r="317" s="26" customFormat="1" x14ac:dyDescent="0.25"/>
    <row r="318" s="26" customFormat="1" x14ac:dyDescent="0.25"/>
    <row r="319" s="26" customFormat="1" x14ac:dyDescent="0.25"/>
    <row r="320" s="26" customFormat="1" x14ac:dyDescent="0.25"/>
    <row r="321" s="26" customFormat="1" x14ac:dyDescent="0.25"/>
    <row r="322" s="26" customFormat="1" x14ac:dyDescent="0.25"/>
    <row r="323" s="26" customFormat="1" x14ac:dyDescent="0.25"/>
    <row r="324" s="26" customFormat="1" x14ac:dyDescent="0.25"/>
    <row r="325" s="26" customFormat="1" x14ac:dyDescent="0.25"/>
    <row r="326" s="26" customFormat="1" x14ac:dyDescent="0.25"/>
    <row r="327" s="26" customFormat="1" x14ac:dyDescent="0.25"/>
    <row r="328" s="26" customFormat="1" x14ac:dyDescent="0.25"/>
    <row r="329" s="26" customFormat="1" x14ac:dyDescent="0.25"/>
    <row r="330" s="26" customFormat="1" x14ac:dyDescent="0.25"/>
    <row r="331" s="26" customFormat="1" x14ac:dyDescent="0.25"/>
    <row r="332" s="26" customFormat="1" x14ac:dyDescent="0.25"/>
    <row r="333" s="26" customFormat="1" x14ac:dyDescent="0.25"/>
    <row r="334" s="26" customFormat="1" x14ac:dyDescent="0.25"/>
    <row r="335" s="26" customFormat="1" x14ac:dyDescent="0.25"/>
    <row r="336" s="26" customFormat="1" x14ac:dyDescent="0.25"/>
    <row r="337" s="26" customFormat="1" x14ac:dyDescent="0.25"/>
    <row r="338" s="26" customFormat="1" x14ac:dyDescent="0.25"/>
    <row r="339" s="26" customFormat="1" x14ac:dyDescent="0.25"/>
    <row r="340" s="26" customFormat="1" x14ac:dyDescent="0.25"/>
    <row r="341" s="26" customFormat="1" x14ac:dyDescent="0.25"/>
    <row r="342" s="26" customFormat="1" x14ac:dyDescent="0.25"/>
    <row r="343" s="26" customFormat="1" x14ac:dyDescent="0.25"/>
    <row r="344" s="26" customFormat="1" x14ac:dyDescent="0.25"/>
    <row r="345" s="26" customFormat="1" x14ac:dyDescent="0.25"/>
    <row r="346" s="26" customFormat="1" x14ac:dyDescent="0.25"/>
    <row r="347" s="26" customFormat="1" x14ac:dyDescent="0.25"/>
    <row r="348" s="26" customFormat="1" x14ac:dyDescent="0.25"/>
    <row r="349" s="26" customFormat="1" x14ac:dyDescent="0.25"/>
    <row r="350" s="26" customFormat="1" x14ac:dyDescent="0.25"/>
    <row r="351" s="26" customFormat="1" x14ac:dyDescent="0.25"/>
    <row r="352" s="26" customFormat="1" x14ac:dyDescent="0.25"/>
    <row r="353" s="26" customFormat="1" x14ac:dyDescent="0.25"/>
    <row r="354" s="26" customFormat="1" x14ac:dyDescent="0.25"/>
    <row r="355" s="26" customFormat="1" x14ac:dyDescent="0.25"/>
    <row r="356" s="26" customFormat="1" x14ac:dyDescent="0.25"/>
    <row r="357" s="26" customFormat="1" x14ac:dyDescent="0.25"/>
    <row r="358" s="26" customFormat="1" x14ac:dyDescent="0.25"/>
    <row r="359" s="26" customFormat="1" x14ac:dyDescent="0.25"/>
    <row r="360" s="26" customFormat="1" x14ac:dyDescent="0.25"/>
    <row r="361" s="26" customFormat="1" x14ac:dyDescent="0.25"/>
    <row r="362" s="26" customFormat="1" x14ac:dyDescent="0.25"/>
    <row r="363" s="26" customFormat="1" x14ac:dyDescent="0.25"/>
    <row r="364" s="26" customFormat="1" x14ac:dyDescent="0.25"/>
    <row r="365" s="26" customFormat="1" x14ac:dyDescent="0.25"/>
    <row r="366" s="26" customFormat="1" x14ac:dyDescent="0.25"/>
    <row r="367" s="26" customFormat="1" x14ac:dyDescent="0.25"/>
    <row r="368" s="26" customFormat="1" x14ac:dyDescent="0.25"/>
    <row r="369" s="26" customFormat="1" x14ac:dyDescent="0.25"/>
    <row r="370" s="26" customFormat="1" x14ac:dyDescent="0.25"/>
    <row r="371" s="26" customFormat="1" x14ac:dyDescent="0.25"/>
    <row r="372" s="26" customFormat="1" x14ac:dyDescent="0.25"/>
    <row r="373" s="26" customFormat="1" x14ac:dyDescent="0.25"/>
    <row r="374" s="26" customFormat="1" x14ac:dyDescent="0.25"/>
    <row r="375" s="26" customFormat="1" x14ac:dyDescent="0.25"/>
    <row r="376" s="26" customFormat="1" x14ac:dyDescent="0.25"/>
    <row r="377" s="26" customFormat="1" x14ac:dyDescent="0.25"/>
    <row r="378" s="26" customFormat="1" x14ac:dyDescent="0.25"/>
    <row r="379" s="26" customFormat="1" x14ac:dyDescent="0.25"/>
    <row r="380" s="26" customFormat="1" x14ac:dyDescent="0.25"/>
    <row r="381" s="26" customFormat="1" x14ac:dyDescent="0.25"/>
    <row r="382" s="26" customFormat="1" x14ac:dyDescent="0.25"/>
    <row r="383" s="26" customFormat="1" x14ac:dyDescent="0.25"/>
    <row r="384" s="26" customFormat="1" x14ac:dyDescent="0.25"/>
    <row r="385" s="26" customFormat="1" x14ac:dyDescent="0.25"/>
    <row r="386" s="26" customFormat="1" x14ac:dyDescent="0.25"/>
    <row r="387" s="26" customFormat="1" x14ac:dyDescent="0.25"/>
    <row r="388" s="26" customFormat="1" x14ac:dyDescent="0.25"/>
    <row r="389" s="26" customFormat="1" x14ac:dyDescent="0.25"/>
    <row r="390" s="26" customFormat="1" x14ac:dyDescent="0.25"/>
    <row r="391" s="26" customFormat="1" x14ac:dyDescent="0.25"/>
    <row r="392" s="26" customFormat="1" x14ac:dyDescent="0.25"/>
    <row r="393" s="26" customFormat="1" x14ac:dyDescent="0.25"/>
    <row r="394" s="26" customFormat="1" x14ac:dyDescent="0.25"/>
    <row r="395" s="26" customFormat="1" x14ac:dyDescent="0.25"/>
    <row r="396" s="26" customFormat="1" x14ac:dyDescent="0.25"/>
    <row r="397" s="26" customFormat="1" x14ac:dyDescent="0.25"/>
    <row r="398" s="26" customFormat="1" x14ac:dyDescent="0.25"/>
    <row r="399" s="26" customFormat="1" x14ac:dyDescent="0.25"/>
    <row r="400" s="26" customFormat="1" x14ac:dyDescent="0.25"/>
    <row r="401" s="26" customFormat="1" x14ac:dyDescent="0.25"/>
    <row r="402" s="26" customFormat="1" x14ac:dyDescent="0.25"/>
    <row r="403" s="26" customFormat="1" x14ac:dyDescent="0.25"/>
    <row r="404" s="26" customFormat="1" x14ac:dyDescent="0.25"/>
    <row r="405" s="26" customFormat="1" x14ac:dyDescent="0.25"/>
    <row r="406" s="26" customFormat="1" x14ac:dyDescent="0.25"/>
    <row r="407" s="26" customFormat="1" x14ac:dyDescent="0.25"/>
    <row r="408" s="26" customFormat="1" x14ac:dyDescent="0.25"/>
    <row r="409" s="26" customFormat="1" x14ac:dyDescent="0.25"/>
    <row r="410" s="26" customFormat="1" x14ac:dyDescent="0.25"/>
    <row r="411" s="26" customFormat="1" x14ac:dyDescent="0.25"/>
    <row r="412" s="26" customFormat="1" x14ac:dyDescent="0.25"/>
    <row r="413" s="26" customFormat="1" x14ac:dyDescent="0.25"/>
    <row r="414" s="26" customFormat="1" x14ac:dyDescent="0.25"/>
    <row r="415" s="26" customFormat="1" x14ac:dyDescent="0.25"/>
    <row r="416" s="26" customFormat="1" x14ac:dyDescent="0.25"/>
    <row r="417" s="26" customFormat="1" x14ac:dyDescent="0.25"/>
    <row r="418" s="26" customFormat="1" x14ac:dyDescent="0.25"/>
    <row r="419" s="26" customFormat="1" x14ac:dyDescent="0.25"/>
    <row r="420" s="26" customFormat="1" x14ac:dyDescent="0.25"/>
    <row r="421" s="26" customFormat="1" x14ac:dyDescent="0.25"/>
    <row r="422" s="26" customFormat="1" x14ac:dyDescent="0.25"/>
    <row r="423" s="26" customFormat="1" x14ac:dyDescent="0.25"/>
    <row r="424" s="26" customFormat="1" x14ac:dyDescent="0.25"/>
    <row r="425" s="26" customFormat="1" x14ac:dyDescent="0.25"/>
    <row r="426" s="26" customFormat="1" x14ac:dyDescent="0.25"/>
    <row r="427" s="26" customFormat="1" x14ac:dyDescent="0.25"/>
    <row r="428" s="26" customFormat="1" x14ac:dyDescent="0.25"/>
    <row r="429" s="26" customFormat="1" x14ac:dyDescent="0.25"/>
    <row r="430" s="26" customFormat="1" x14ac:dyDescent="0.25"/>
    <row r="431" s="26" customFormat="1" x14ac:dyDescent="0.25"/>
    <row r="432" s="26" customFormat="1" x14ac:dyDescent="0.25"/>
    <row r="433" s="26" customFormat="1" x14ac:dyDescent="0.25"/>
    <row r="434" s="26" customFormat="1" x14ac:dyDescent="0.25"/>
    <row r="435" s="26" customFormat="1" x14ac:dyDescent="0.25"/>
    <row r="436" s="26" customFormat="1" x14ac:dyDescent="0.25"/>
    <row r="437" s="26" customFormat="1" x14ac:dyDescent="0.25"/>
    <row r="438" s="26" customFormat="1" x14ac:dyDescent="0.25"/>
    <row r="439" s="26" customFormat="1" x14ac:dyDescent="0.25"/>
    <row r="440" s="26" customFormat="1" x14ac:dyDescent="0.25"/>
    <row r="441" s="26" customFormat="1" x14ac:dyDescent="0.25"/>
    <row r="442" s="26" customFormat="1" x14ac:dyDescent="0.25"/>
    <row r="443" s="26" customFormat="1" x14ac:dyDescent="0.25"/>
    <row r="444" s="26" customFormat="1" x14ac:dyDescent="0.25"/>
    <row r="445" s="26" customFormat="1" x14ac:dyDescent="0.25"/>
    <row r="446" s="26" customFormat="1" x14ac:dyDescent="0.25"/>
    <row r="447" s="26" customFormat="1" x14ac:dyDescent="0.25"/>
    <row r="448" s="26" customFormat="1" x14ac:dyDescent="0.25"/>
    <row r="449" s="26" customFormat="1" x14ac:dyDescent="0.25"/>
    <row r="450" s="26" customFormat="1" x14ac:dyDescent="0.25"/>
    <row r="451" s="26" customFormat="1" x14ac:dyDescent="0.25"/>
    <row r="452" s="26" customFormat="1" x14ac:dyDescent="0.25"/>
    <row r="453" s="26" customFormat="1" x14ac:dyDescent="0.25"/>
    <row r="454" s="26" customFormat="1" x14ac:dyDescent="0.25"/>
    <row r="455" s="26" customFormat="1" x14ac:dyDescent="0.25"/>
    <row r="456" s="26" customFormat="1" x14ac:dyDescent="0.25"/>
    <row r="457" s="26" customFormat="1" x14ac:dyDescent="0.25"/>
    <row r="458" s="26" customFormat="1" x14ac:dyDescent="0.25"/>
    <row r="459" s="26" customFormat="1" x14ac:dyDescent="0.25"/>
    <row r="460" s="26" customFormat="1" x14ac:dyDescent="0.25"/>
    <row r="461" s="26" customFormat="1" x14ac:dyDescent="0.25"/>
    <row r="462" s="26" customFormat="1" x14ac:dyDescent="0.25"/>
    <row r="463" s="26" customFormat="1" x14ac:dyDescent="0.25"/>
    <row r="464" s="26" customFormat="1" x14ac:dyDescent="0.25"/>
    <row r="465" s="26" customFormat="1" x14ac:dyDescent="0.25"/>
    <row r="466" s="26" customFormat="1" x14ac:dyDescent="0.25"/>
    <row r="467" s="26" customFormat="1" x14ac:dyDescent="0.25"/>
    <row r="468" s="26" customFormat="1" x14ac:dyDescent="0.25"/>
    <row r="469" s="26" customFormat="1" x14ac:dyDescent="0.25"/>
    <row r="470" s="26" customFormat="1" x14ac:dyDescent="0.25"/>
    <row r="471" s="26" customFormat="1" x14ac:dyDescent="0.25"/>
    <row r="472" s="26" customFormat="1" x14ac:dyDescent="0.25"/>
    <row r="473" s="26" customFormat="1" x14ac:dyDescent="0.25"/>
    <row r="474" s="26" customFormat="1" x14ac:dyDescent="0.25"/>
    <row r="475" s="26" customFormat="1" x14ac:dyDescent="0.25"/>
    <row r="476" s="26" customFormat="1" x14ac:dyDescent="0.25"/>
    <row r="477" s="26" customFormat="1" x14ac:dyDescent="0.25"/>
    <row r="478" s="26" customFormat="1" x14ac:dyDescent="0.25"/>
    <row r="479" s="26" customFormat="1" x14ac:dyDescent="0.25"/>
    <row r="480" s="26" customFormat="1" x14ac:dyDescent="0.25"/>
    <row r="481" s="26" customFormat="1" x14ac:dyDescent="0.25"/>
    <row r="482" s="26" customFormat="1" x14ac:dyDescent="0.25"/>
    <row r="483" s="26" customFormat="1" x14ac:dyDescent="0.25"/>
    <row r="484" s="26" customFormat="1" x14ac:dyDescent="0.25"/>
    <row r="485" s="26" customFormat="1" x14ac:dyDescent="0.25"/>
    <row r="486" s="26" customFormat="1" x14ac:dyDescent="0.25"/>
    <row r="487" s="26" customFormat="1" x14ac:dyDescent="0.25"/>
    <row r="488" s="26" customFormat="1" x14ac:dyDescent="0.25"/>
    <row r="489" s="26" customFormat="1" x14ac:dyDescent="0.25"/>
    <row r="490" s="26" customFormat="1" x14ac:dyDescent="0.25"/>
    <row r="491" s="26" customFormat="1" x14ac:dyDescent="0.25"/>
    <row r="492" s="26" customFormat="1" x14ac:dyDescent="0.25"/>
    <row r="493" s="26" customFormat="1" x14ac:dyDescent="0.25"/>
    <row r="494" s="26" customFormat="1" x14ac:dyDescent="0.25"/>
    <row r="495" s="26" customFormat="1" x14ac:dyDescent="0.25"/>
    <row r="496" s="26" customFormat="1" x14ac:dyDescent="0.25"/>
    <row r="497" s="26" customFormat="1" x14ac:dyDescent="0.25"/>
    <row r="498" s="26" customFormat="1" x14ac:dyDescent="0.25"/>
    <row r="499" s="26" customFormat="1" x14ac:dyDescent="0.25"/>
    <row r="500" s="26" customFormat="1" x14ac:dyDescent="0.25"/>
    <row r="501" s="26" customFormat="1" x14ac:dyDescent="0.25"/>
    <row r="502" s="26" customFormat="1" x14ac:dyDescent="0.25"/>
    <row r="503" s="26" customFormat="1" x14ac:dyDescent="0.25"/>
    <row r="504" s="26" customFormat="1" x14ac:dyDescent="0.25"/>
    <row r="505" s="26" customFormat="1" x14ac:dyDescent="0.25"/>
    <row r="506" s="26" customFormat="1" x14ac:dyDescent="0.25"/>
    <row r="507" s="26" customFormat="1" x14ac:dyDescent="0.25"/>
    <row r="508" s="26" customFormat="1" x14ac:dyDescent="0.25"/>
    <row r="509" s="26" customFormat="1" x14ac:dyDescent="0.25"/>
    <row r="510" s="26" customFormat="1" x14ac:dyDescent="0.25"/>
    <row r="511" s="26" customFormat="1" x14ac:dyDescent="0.25"/>
    <row r="512" s="26" customFormat="1" x14ac:dyDescent="0.25"/>
    <row r="513" s="26" customFormat="1" x14ac:dyDescent="0.25"/>
    <row r="514" s="26" customFormat="1" x14ac:dyDescent="0.25"/>
    <row r="515" s="26" customFormat="1" x14ac:dyDescent="0.25"/>
    <row r="516" s="26" customFormat="1" x14ac:dyDescent="0.25"/>
    <row r="517" s="26" customFormat="1" x14ac:dyDescent="0.25"/>
    <row r="518" s="26" customFormat="1" x14ac:dyDescent="0.25"/>
    <row r="519" s="26" customFormat="1" x14ac:dyDescent="0.25"/>
    <row r="520" s="26" customFormat="1" x14ac:dyDescent="0.25"/>
    <row r="521" s="26" customFormat="1" x14ac:dyDescent="0.25"/>
    <row r="522" s="26" customFormat="1" x14ac:dyDescent="0.25"/>
    <row r="523" s="26" customFormat="1" x14ac:dyDescent="0.25"/>
    <row r="524" s="26" customFormat="1" x14ac:dyDescent="0.25"/>
    <row r="525" s="26" customFormat="1" x14ac:dyDescent="0.25"/>
    <row r="526" s="26" customFormat="1" x14ac:dyDescent="0.25"/>
    <row r="527" s="26" customFormat="1" x14ac:dyDescent="0.25"/>
    <row r="528" s="26" customFormat="1" x14ac:dyDescent="0.25"/>
    <row r="529" s="26" customFormat="1" x14ac:dyDescent="0.25"/>
    <row r="530" s="26" customFormat="1" x14ac:dyDescent="0.25"/>
    <row r="531" s="26" customFormat="1" x14ac:dyDescent="0.25"/>
    <row r="532" s="26" customFormat="1" x14ac:dyDescent="0.25"/>
    <row r="533" s="26" customFormat="1" x14ac:dyDescent="0.25"/>
    <row r="534" s="26" customFormat="1" x14ac:dyDescent="0.25"/>
    <row r="535" s="26" customFormat="1" x14ac:dyDescent="0.25"/>
    <row r="536" s="26" customFormat="1" x14ac:dyDescent="0.25"/>
    <row r="537" s="26" customFormat="1" x14ac:dyDescent="0.25"/>
    <row r="538" s="26" customFormat="1" x14ac:dyDescent="0.25"/>
    <row r="539" s="26" customFormat="1" x14ac:dyDescent="0.25"/>
    <row r="540" s="26" customFormat="1" x14ac:dyDescent="0.25"/>
    <row r="541" s="26" customFormat="1" x14ac:dyDescent="0.25"/>
    <row r="542" s="26" customFormat="1" x14ac:dyDescent="0.25"/>
    <row r="543" s="26" customFormat="1" x14ac:dyDescent="0.25"/>
    <row r="544" s="26" customFormat="1" x14ac:dyDescent="0.25"/>
    <row r="545" s="26" customFormat="1" x14ac:dyDescent="0.25"/>
    <row r="546" s="26" customFormat="1" x14ac:dyDescent="0.25"/>
    <row r="547" s="26" customFormat="1" x14ac:dyDescent="0.25"/>
    <row r="548" s="26" customFormat="1" x14ac:dyDescent="0.25"/>
    <row r="549" s="26" customFormat="1" x14ac:dyDescent="0.25"/>
    <row r="550" s="26" customFormat="1" x14ac:dyDescent="0.25"/>
    <row r="551" s="26" customFormat="1" x14ac:dyDescent="0.25"/>
    <row r="552" s="26" customFormat="1" x14ac:dyDescent="0.25"/>
    <row r="553" s="26" customFormat="1" x14ac:dyDescent="0.25"/>
    <row r="554" s="26" customFormat="1" x14ac:dyDescent="0.25"/>
    <row r="555" s="26" customFormat="1" x14ac:dyDescent="0.25"/>
    <row r="556" s="26" customFormat="1" x14ac:dyDescent="0.25"/>
    <row r="557" s="26" customFormat="1" x14ac:dyDescent="0.25"/>
    <row r="558" s="26" customFormat="1" x14ac:dyDescent="0.25"/>
    <row r="559" s="26" customFormat="1" x14ac:dyDescent="0.25"/>
    <row r="560" s="26" customFormat="1" x14ac:dyDescent="0.25"/>
    <row r="561" s="26" customFormat="1" x14ac:dyDescent="0.25"/>
    <row r="562" s="26" customFormat="1" x14ac:dyDescent="0.25"/>
    <row r="563" s="26" customFormat="1" x14ac:dyDescent="0.25"/>
    <row r="564" s="26" customFormat="1" x14ac:dyDescent="0.25"/>
    <row r="565" s="26" customFormat="1" x14ac:dyDescent="0.25"/>
    <row r="566" s="26" customFormat="1" x14ac:dyDescent="0.25"/>
    <row r="567" s="26" customFormat="1" x14ac:dyDescent="0.25"/>
    <row r="568" s="26" customFormat="1" x14ac:dyDescent="0.25"/>
    <row r="569" s="26" customFormat="1" x14ac:dyDescent="0.25"/>
    <row r="570" s="26" customFormat="1" x14ac:dyDescent="0.25"/>
    <row r="571" s="26" customFormat="1" x14ac:dyDescent="0.25"/>
    <row r="572" s="26" customFormat="1" x14ac:dyDescent="0.25"/>
    <row r="573" s="26" customFormat="1" x14ac:dyDescent="0.25"/>
    <row r="574" s="26" customFormat="1" x14ac:dyDescent="0.25"/>
    <row r="575" s="26" customFormat="1" x14ac:dyDescent="0.25"/>
    <row r="576" s="26" customFormat="1" x14ac:dyDescent="0.25"/>
    <row r="577" s="26" customFormat="1" x14ac:dyDescent="0.25"/>
    <row r="578" s="26" customFormat="1" x14ac:dyDescent="0.25"/>
    <row r="579" s="26" customFormat="1" x14ac:dyDescent="0.25"/>
    <row r="580" s="26" customFormat="1" x14ac:dyDescent="0.25"/>
    <row r="581" s="26" customFormat="1" x14ac:dyDescent="0.25"/>
    <row r="582" s="26" customFormat="1" x14ac:dyDescent="0.25"/>
    <row r="583" s="26" customFormat="1" x14ac:dyDescent="0.25"/>
    <row r="584" s="26" customFormat="1" x14ac:dyDescent="0.25"/>
    <row r="585" s="26" customFormat="1" x14ac:dyDescent="0.25"/>
    <row r="586" s="26" customFormat="1" x14ac:dyDescent="0.25"/>
    <row r="587" s="26" customFormat="1" x14ac:dyDescent="0.25"/>
    <row r="588" s="26" customFormat="1" x14ac:dyDescent="0.25"/>
    <row r="589" s="26" customFormat="1" x14ac:dyDescent="0.25"/>
    <row r="590" s="26" customFormat="1" x14ac:dyDescent="0.25"/>
    <row r="591" s="26" customFormat="1" x14ac:dyDescent="0.25"/>
    <row r="592" s="26" customFormat="1" x14ac:dyDescent="0.25"/>
    <row r="593" s="26" customFormat="1" x14ac:dyDescent="0.25"/>
    <row r="594" s="26" customFormat="1" x14ac:dyDescent="0.25"/>
    <row r="595" s="26" customFormat="1" x14ac:dyDescent="0.25"/>
    <row r="596" s="26" customFormat="1" x14ac:dyDescent="0.25"/>
    <row r="597" s="26" customFormat="1" x14ac:dyDescent="0.25"/>
    <row r="598" s="26" customFormat="1" x14ac:dyDescent="0.25"/>
    <row r="599" s="26" customFormat="1" x14ac:dyDescent="0.25"/>
    <row r="600" s="26" customFormat="1" x14ac:dyDescent="0.25"/>
    <row r="601" s="26" customFormat="1" x14ac:dyDescent="0.25"/>
    <row r="602" s="26" customFormat="1" x14ac:dyDescent="0.25"/>
    <row r="603" s="26" customFormat="1" x14ac:dyDescent="0.25"/>
    <row r="604" s="26" customFormat="1" x14ac:dyDescent="0.25"/>
    <row r="605" s="26" customFormat="1" x14ac:dyDescent="0.25"/>
    <row r="606" s="26" customFormat="1" x14ac:dyDescent="0.25"/>
    <row r="607" s="26" customFormat="1" x14ac:dyDescent="0.25"/>
    <row r="608" s="26" customFormat="1" x14ac:dyDescent="0.25"/>
    <row r="609" s="26" customFormat="1" x14ac:dyDescent="0.25"/>
    <row r="610" s="26" customFormat="1" x14ac:dyDescent="0.25"/>
    <row r="611" s="26" customFormat="1" x14ac:dyDescent="0.25"/>
    <row r="612" s="26" customFormat="1" x14ac:dyDescent="0.25"/>
    <row r="613" s="26" customFormat="1" x14ac:dyDescent="0.25"/>
    <row r="614" s="26" customFormat="1" x14ac:dyDescent="0.25"/>
    <row r="615" s="26" customFormat="1" x14ac:dyDescent="0.25"/>
    <row r="616" s="26" customFormat="1" x14ac:dyDescent="0.25"/>
    <row r="617" s="26" customFormat="1" x14ac:dyDescent="0.25"/>
    <row r="618" s="26" customFormat="1" x14ac:dyDescent="0.25"/>
    <row r="619" s="26" customFormat="1" x14ac:dyDescent="0.25"/>
    <row r="620" s="26" customFormat="1" x14ac:dyDescent="0.25"/>
    <row r="621" s="26" customFormat="1" x14ac:dyDescent="0.25"/>
    <row r="622" s="26" customFormat="1" x14ac:dyDescent="0.25"/>
    <row r="623" s="26" customFormat="1" x14ac:dyDescent="0.25"/>
    <row r="624" s="26" customFormat="1" x14ac:dyDescent="0.25"/>
    <row r="625" s="26" customFormat="1" x14ac:dyDescent="0.25"/>
    <row r="626" s="26" customFormat="1" x14ac:dyDescent="0.25"/>
    <row r="627" s="26" customFormat="1" x14ac:dyDescent="0.25"/>
    <row r="628" s="26" customFormat="1" x14ac:dyDescent="0.25"/>
    <row r="629" s="26" customFormat="1" x14ac:dyDescent="0.25"/>
    <row r="630" s="26" customFormat="1" x14ac:dyDescent="0.25"/>
    <row r="631" s="26" customFormat="1" x14ac:dyDescent="0.25"/>
    <row r="632" s="26" customFormat="1" x14ac:dyDescent="0.25"/>
    <row r="633" s="26" customFormat="1" x14ac:dyDescent="0.25"/>
    <row r="634" s="26" customFormat="1" x14ac:dyDescent="0.25"/>
    <row r="635" s="26" customFormat="1" x14ac:dyDescent="0.25"/>
    <row r="636" s="26" customFormat="1" x14ac:dyDescent="0.25"/>
    <row r="637" s="26" customFormat="1" x14ac:dyDescent="0.25"/>
    <row r="638" s="26" customFormat="1" x14ac:dyDescent="0.25"/>
    <row r="639" s="26" customFormat="1" x14ac:dyDescent="0.25"/>
    <row r="640" s="26" customFormat="1" x14ac:dyDescent="0.25"/>
    <row r="641" s="26" customFormat="1" x14ac:dyDescent="0.25"/>
    <row r="642" s="26" customFormat="1" x14ac:dyDescent="0.25"/>
    <row r="643" s="26" customFormat="1" x14ac:dyDescent="0.25"/>
    <row r="644" s="26" customFormat="1" x14ac:dyDescent="0.25"/>
    <row r="645" s="26" customFormat="1" x14ac:dyDescent="0.25"/>
    <row r="646" s="26" customFormat="1" x14ac:dyDescent="0.25"/>
    <row r="647" s="26" customFormat="1" x14ac:dyDescent="0.25"/>
    <row r="648" s="26" customFormat="1" x14ac:dyDescent="0.25"/>
    <row r="649" s="26" customFormat="1" x14ac:dyDescent="0.25"/>
    <row r="650" s="26" customFormat="1" x14ac:dyDescent="0.25"/>
    <row r="651" s="26" customFormat="1" x14ac:dyDescent="0.25"/>
    <row r="652" s="26" customFormat="1" x14ac:dyDescent="0.25"/>
    <row r="653" s="26" customFormat="1" x14ac:dyDescent="0.25"/>
    <row r="654" s="26" customFormat="1" x14ac:dyDescent="0.25"/>
    <row r="655" s="26" customFormat="1" x14ac:dyDescent="0.25"/>
    <row r="656" s="26" customFormat="1" x14ac:dyDescent="0.25"/>
    <row r="657" s="26" customFormat="1" x14ac:dyDescent="0.25"/>
    <row r="658" s="26" customFormat="1" x14ac:dyDescent="0.25"/>
    <row r="659" s="26" customFormat="1" x14ac:dyDescent="0.25"/>
    <row r="660" s="26" customFormat="1" x14ac:dyDescent="0.25"/>
    <row r="661" s="26" customFormat="1" x14ac:dyDescent="0.25"/>
    <row r="662" s="26" customFormat="1" x14ac:dyDescent="0.25"/>
    <row r="663" s="26" customFormat="1" x14ac:dyDescent="0.25"/>
    <row r="664" s="26" customFormat="1" x14ac:dyDescent="0.25"/>
    <row r="665" s="26" customFormat="1" x14ac:dyDescent="0.25"/>
    <row r="666" s="26" customFormat="1" x14ac:dyDescent="0.25"/>
    <row r="667" s="26" customFormat="1" x14ac:dyDescent="0.25"/>
    <row r="668" s="26" customFormat="1" x14ac:dyDescent="0.25"/>
    <row r="669" s="26" customFormat="1" x14ac:dyDescent="0.25"/>
    <row r="670" s="26" customFormat="1" x14ac:dyDescent="0.25"/>
    <row r="671" s="26" customFormat="1" x14ac:dyDescent="0.25"/>
    <row r="672" s="26" customFormat="1" x14ac:dyDescent="0.25"/>
    <row r="673" s="26" customFormat="1" x14ac:dyDescent="0.25"/>
    <row r="674" s="26" customFormat="1" x14ac:dyDescent="0.25"/>
    <row r="675" s="26" customFormat="1" x14ac:dyDescent="0.25"/>
    <row r="676" s="26" customFormat="1" x14ac:dyDescent="0.25"/>
    <row r="677" s="26" customFormat="1" x14ac:dyDescent="0.25"/>
    <row r="678" s="26" customFormat="1" x14ac:dyDescent="0.25"/>
    <row r="679" s="26" customFormat="1" x14ac:dyDescent="0.25"/>
    <row r="680" s="26" customFormat="1" x14ac:dyDescent="0.25"/>
    <row r="681" s="26" customFormat="1" x14ac:dyDescent="0.25"/>
    <row r="682" s="26" customFormat="1" x14ac:dyDescent="0.25"/>
    <row r="683" s="26" customFormat="1" x14ac:dyDescent="0.25"/>
    <row r="684" s="26" customFormat="1" x14ac:dyDescent="0.25"/>
    <row r="685" s="26" customFormat="1" x14ac:dyDescent="0.25"/>
    <row r="686" s="26" customFormat="1" x14ac:dyDescent="0.25"/>
    <row r="687" s="26" customFormat="1" x14ac:dyDescent="0.25"/>
    <row r="688" s="26" customFormat="1" x14ac:dyDescent="0.25"/>
    <row r="689" s="26" customFormat="1" x14ac:dyDescent="0.25"/>
    <row r="690" s="26" customFormat="1" x14ac:dyDescent="0.25"/>
    <row r="691" s="26" customFormat="1" x14ac:dyDescent="0.25"/>
    <row r="692" s="26" customFormat="1" x14ac:dyDescent="0.25"/>
    <row r="693" s="26" customFormat="1" x14ac:dyDescent="0.25"/>
    <row r="694" s="26" customFormat="1" x14ac:dyDescent="0.25"/>
    <row r="695" s="26" customFormat="1" x14ac:dyDescent="0.25"/>
    <row r="696" s="26" customFormat="1" x14ac:dyDescent="0.25"/>
    <row r="697" s="26" customFormat="1" x14ac:dyDescent="0.25"/>
    <row r="698" s="26" customFormat="1" x14ac:dyDescent="0.25"/>
    <row r="699" s="26" customFormat="1" x14ac:dyDescent="0.25"/>
    <row r="700" s="26" customFormat="1" x14ac:dyDescent="0.25"/>
    <row r="701" s="26" customFormat="1" x14ac:dyDescent="0.25"/>
    <row r="702" s="26" customFormat="1" x14ac:dyDescent="0.25"/>
    <row r="703" s="26" customFormat="1" x14ac:dyDescent="0.25"/>
    <row r="704" s="26" customFormat="1" x14ac:dyDescent="0.25"/>
    <row r="705" s="26" customFormat="1" x14ac:dyDescent="0.25"/>
    <row r="706" s="26" customFormat="1" x14ac:dyDescent="0.25"/>
    <row r="707" s="26" customFormat="1" x14ac:dyDescent="0.25"/>
    <row r="708" s="26" customFormat="1" x14ac:dyDescent="0.25"/>
    <row r="709" s="26" customFormat="1" x14ac:dyDescent="0.25"/>
    <row r="710" s="26" customFormat="1" x14ac:dyDescent="0.25"/>
    <row r="711" s="26" customFormat="1" x14ac:dyDescent="0.25"/>
    <row r="712" s="26" customFormat="1" x14ac:dyDescent="0.25"/>
    <row r="713" s="26" customFormat="1" x14ac:dyDescent="0.25"/>
    <row r="714" s="26" customFormat="1" x14ac:dyDescent="0.25"/>
    <row r="715" s="26" customFormat="1" x14ac:dyDescent="0.25"/>
    <row r="716" s="26" customFormat="1" x14ac:dyDescent="0.25"/>
    <row r="717" s="26" customFormat="1" x14ac:dyDescent="0.25"/>
    <row r="718" s="26" customFormat="1" x14ac:dyDescent="0.25"/>
    <row r="719" s="26" customFormat="1" x14ac:dyDescent="0.25"/>
    <row r="720" s="26" customFormat="1" x14ac:dyDescent="0.25"/>
    <row r="721" s="26" customFormat="1" x14ac:dyDescent="0.25"/>
    <row r="722" s="26" customFormat="1" x14ac:dyDescent="0.25"/>
    <row r="723" s="26" customFormat="1" x14ac:dyDescent="0.25"/>
    <row r="724" s="26" customFormat="1" x14ac:dyDescent="0.25"/>
    <row r="725" s="26" customFormat="1" x14ac:dyDescent="0.25"/>
    <row r="726" s="26" customFormat="1" x14ac:dyDescent="0.25"/>
    <row r="727" s="26" customFormat="1" x14ac:dyDescent="0.25"/>
    <row r="728" s="26" customFormat="1" x14ac:dyDescent="0.25"/>
    <row r="729" s="26" customFormat="1" x14ac:dyDescent="0.25"/>
    <row r="730" s="26" customFormat="1" x14ac:dyDescent="0.25"/>
    <row r="731" s="26" customFormat="1" x14ac:dyDescent="0.25"/>
    <row r="732" s="26" customFormat="1" x14ac:dyDescent="0.25"/>
    <row r="733" s="26" customFormat="1" x14ac:dyDescent="0.25"/>
    <row r="734" s="26" customFormat="1" x14ac:dyDescent="0.25"/>
    <row r="735" s="26" customFormat="1" x14ac:dyDescent="0.25"/>
    <row r="736" s="26" customFormat="1" x14ac:dyDescent="0.25"/>
    <row r="737" s="26" customFormat="1" x14ac:dyDescent="0.25"/>
    <row r="738" s="26" customFormat="1" x14ac:dyDescent="0.25"/>
    <row r="739" s="26" customFormat="1" x14ac:dyDescent="0.25"/>
    <row r="740" s="26" customFormat="1" x14ac:dyDescent="0.25"/>
    <row r="741" s="26" customFormat="1" x14ac:dyDescent="0.25"/>
    <row r="742" s="26" customFormat="1" x14ac:dyDescent="0.25"/>
    <row r="743" s="26" customFormat="1" x14ac:dyDescent="0.25"/>
    <row r="744" s="26" customFormat="1" x14ac:dyDescent="0.25"/>
    <row r="745" s="26" customFormat="1" x14ac:dyDescent="0.25"/>
    <row r="746" s="26" customFormat="1" x14ac:dyDescent="0.25"/>
    <row r="747" s="26" customFormat="1" x14ac:dyDescent="0.25"/>
    <row r="748" s="26" customFormat="1" x14ac:dyDescent="0.25"/>
    <row r="749" s="26" customFormat="1" x14ac:dyDescent="0.25"/>
    <row r="750" s="26" customFormat="1" x14ac:dyDescent="0.25"/>
    <row r="751" s="26" customFormat="1" x14ac:dyDescent="0.25"/>
    <row r="752" s="26" customFormat="1" x14ac:dyDescent="0.25"/>
    <row r="753" s="26" customFormat="1" x14ac:dyDescent="0.25"/>
    <row r="754" s="26" customFormat="1" x14ac:dyDescent="0.25"/>
    <row r="755" s="26" customFormat="1" x14ac:dyDescent="0.25"/>
    <row r="756" s="26" customFormat="1" x14ac:dyDescent="0.25"/>
    <row r="757" s="26" customFormat="1" x14ac:dyDescent="0.25"/>
    <row r="758" s="26" customFormat="1" x14ac:dyDescent="0.25"/>
    <row r="759" s="26" customFormat="1" x14ac:dyDescent="0.25"/>
    <row r="760" s="26" customFormat="1" x14ac:dyDescent="0.25"/>
    <row r="761" s="26" customFormat="1" x14ac:dyDescent="0.25"/>
    <row r="762" s="26" customFormat="1" x14ac:dyDescent="0.25"/>
    <row r="763" s="26" customFormat="1" x14ac:dyDescent="0.25"/>
    <row r="764" s="26" customFormat="1" x14ac:dyDescent="0.25"/>
    <row r="765" s="26" customFormat="1" x14ac:dyDescent="0.25"/>
    <row r="766" s="26" customFormat="1" x14ac:dyDescent="0.25"/>
    <row r="767" s="26" customFormat="1" x14ac:dyDescent="0.25"/>
    <row r="768" s="26" customFormat="1" x14ac:dyDescent="0.25"/>
    <row r="769" s="26" customFormat="1" x14ac:dyDescent="0.25"/>
    <row r="770" s="26" customFormat="1" x14ac:dyDescent="0.25"/>
    <row r="771" s="26" customFormat="1" x14ac:dyDescent="0.25"/>
    <row r="772" s="26" customFormat="1" x14ac:dyDescent="0.25"/>
    <row r="773" s="26" customFormat="1" x14ac:dyDescent="0.25"/>
    <row r="774" s="26" customFormat="1" x14ac:dyDescent="0.25"/>
    <row r="775" s="26" customFormat="1" x14ac:dyDescent="0.25"/>
    <row r="776" s="26" customFormat="1" x14ac:dyDescent="0.25"/>
    <row r="777" s="26" customFormat="1" x14ac:dyDescent="0.25"/>
    <row r="778" s="26" customFormat="1" x14ac:dyDescent="0.25"/>
    <row r="779" s="26" customFormat="1" x14ac:dyDescent="0.25"/>
    <row r="780" s="26" customFormat="1" x14ac:dyDescent="0.25"/>
    <row r="781" s="26" customFormat="1" x14ac:dyDescent="0.25"/>
    <row r="782" s="26" customFormat="1" x14ac:dyDescent="0.25"/>
    <row r="783" s="26" customFormat="1" x14ac:dyDescent="0.25"/>
    <row r="784" s="26" customFormat="1" x14ac:dyDescent="0.25"/>
    <row r="785" s="26" customFormat="1" x14ac:dyDescent="0.25"/>
    <row r="786" s="26" customFormat="1" x14ac:dyDescent="0.25"/>
    <row r="787" s="26" customFormat="1" x14ac:dyDescent="0.25"/>
    <row r="788" s="26" customFormat="1" x14ac:dyDescent="0.25"/>
    <row r="789" s="26" customFormat="1" x14ac:dyDescent="0.25"/>
    <row r="790" s="26" customFormat="1" x14ac:dyDescent="0.25"/>
    <row r="791" s="26" customFormat="1" x14ac:dyDescent="0.25"/>
    <row r="792" s="26" customFormat="1" x14ac:dyDescent="0.25"/>
    <row r="793" s="26" customFormat="1" x14ac:dyDescent="0.25"/>
    <row r="794" s="26" customFormat="1" x14ac:dyDescent="0.25"/>
    <row r="795" s="26" customFormat="1" x14ac:dyDescent="0.25"/>
    <row r="796" s="26" customFormat="1" x14ac:dyDescent="0.25"/>
    <row r="797" s="26" customFormat="1" x14ac:dyDescent="0.25"/>
    <row r="798" s="26" customFormat="1" x14ac:dyDescent="0.25"/>
    <row r="799" s="26" customFormat="1" x14ac:dyDescent="0.25"/>
    <row r="800" s="26" customFormat="1" x14ac:dyDescent="0.25"/>
    <row r="801" s="26" customFormat="1" x14ac:dyDescent="0.25"/>
    <row r="802" s="26" customFormat="1" x14ac:dyDescent="0.25"/>
    <row r="803" s="26" customFormat="1" x14ac:dyDescent="0.25"/>
    <row r="804" s="26" customFormat="1" x14ac:dyDescent="0.25"/>
    <row r="805" s="26" customFormat="1" x14ac:dyDescent="0.25"/>
    <row r="806" s="26" customFormat="1" x14ac:dyDescent="0.25"/>
    <row r="807" s="26" customFormat="1" x14ac:dyDescent="0.25"/>
    <row r="808" s="26" customFormat="1" x14ac:dyDescent="0.25"/>
    <row r="809" s="26" customFormat="1" x14ac:dyDescent="0.25"/>
    <row r="810" s="26" customFormat="1" x14ac:dyDescent="0.25"/>
    <row r="811" s="26" customFormat="1" x14ac:dyDescent="0.25"/>
    <row r="812" s="26" customFormat="1" x14ac:dyDescent="0.25"/>
    <row r="813" s="26" customFormat="1" x14ac:dyDescent="0.25"/>
    <row r="814" s="26" customFormat="1" x14ac:dyDescent="0.25"/>
    <row r="815" s="26" customFormat="1" x14ac:dyDescent="0.25"/>
    <row r="816" s="26" customFormat="1" x14ac:dyDescent="0.25"/>
    <row r="817" s="26" customFormat="1" x14ac:dyDescent="0.25"/>
    <row r="818" s="26" customFormat="1" x14ac:dyDescent="0.25"/>
    <row r="819" s="26" customFormat="1" x14ac:dyDescent="0.25"/>
    <row r="820" s="26" customFormat="1" x14ac:dyDescent="0.25"/>
    <row r="821" s="26" customFormat="1" x14ac:dyDescent="0.25"/>
    <row r="822" s="26" customFormat="1" x14ac:dyDescent="0.25"/>
    <row r="823" s="26" customFormat="1" x14ac:dyDescent="0.25"/>
    <row r="824" s="26" customFormat="1" x14ac:dyDescent="0.25"/>
    <row r="825" s="26" customFormat="1" x14ac:dyDescent="0.25"/>
    <row r="826" s="26" customFormat="1" x14ac:dyDescent="0.25"/>
    <row r="827" s="26" customFormat="1" x14ac:dyDescent="0.25"/>
    <row r="828" s="26" customFormat="1" x14ac:dyDescent="0.25"/>
    <row r="829" s="26" customFormat="1" x14ac:dyDescent="0.25"/>
    <row r="830" s="26" customFormat="1" x14ac:dyDescent="0.25"/>
    <row r="831" s="26" customFormat="1" x14ac:dyDescent="0.25"/>
    <row r="832" s="26" customFormat="1" x14ac:dyDescent="0.25"/>
    <row r="833" spans="1:4" x14ac:dyDescent="0.25">
      <c r="A833" s="26"/>
      <c r="B833" s="26"/>
      <c r="C833" s="26"/>
      <c r="D833" s="26"/>
    </row>
    <row r="834" spans="1:4" x14ac:dyDescent="0.25">
      <c r="A834" s="26"/>
      <c r="B834" s="26"/>
      <c r="C834" s="26"/>
      <c r="D834" s="26"/>
    </row>
    <row r="835" spans="1:4" x14ac:dyDescent="0.25">
      <c r="A835" s="26"/>
      <c r="B835" s="26"/>
      <c r="C835" s="26"/>
      <c r="D835" s="26"/>
    </row>
    <row r="836" spans="1:4" x14ac:dyDescent="0.25">
      <c r="A836" s="26"/>
      <c r="B836" s="26"/>
      <c r="C836" s="26"/>
      <c r="D836" s="26"/>
    </row>
    <row r="837" spans="1:4" x14ac:dyDescent="0.25">
      <c r="A837" s="26"/>
      <c r="B837" s="26"/>
      <c r="C837" s="26"/>
      <c r="D837" s="26"/>
    </row>
    <row r="838" spans="1:4" x14ac:dyDescent="0.25">
      <c r="A838" s="26"/>
      <c r="B838" s="26"/>
      <c r="C838" s="26"/>
      <c r="D838" s="26"/>
    </row>
    <row r="839" spans="1:4" x14ac:dyDescent="0.25">
      <c r="A839" s="26"/>
      <c r="B839" s="26"/>
      <c r="C839" s="26"/>
      <c r="D839" s="26"/>
    </row>
    <row r="840" spans="1:4" x14ac:dyDescent="0.25">
      <c r="A840" s="26"/>
      <c r="B840" s="26"/>
      <c r="C840" s="26"/>
      <c r="D840" s="26"/>
    </row>
    <row r="841" spans="1:4" x14ac:dyDescent="0.25">
      <c r="A841" s="26"/>
      <c r="B841" s="26"/>
      <c r="C841" s="26"/>
      <c r="D841" s="26"/>
    </row>
    <row r="842" spans="1:4" x14ac:dyDescent="0.25">
      <c r="A842" s="26"/>
      <c r="B842" s="26"/>
      <c r="C842" s="26"/>
      <c r="D842" s="26"/>
    </row>
    <row r="843" spans="1:4" x14ac:dyDescent="0.25">
      <c r="A843" s="26"/>
      <c r="B843" s="26"/>
      <c r="C843" s="26"/>
      <c r="D843" s="26"/>
    </row>
    <row r="844" spans="1:4" x14ac:dyDescent="0.25">
      <c r="A844" s="41"/>
      <c r="B844" s="42"/>
      <c r="C844" s="42"/>
      <c r="D844" s="43"/>
    </row>
  </sheetData>
  <sortState xmlns:xlrd2="http://schemas.microsoft.com/office/spreadsheetml/2017/richdata2" ref="A2:E844">
    <sortCondition descending="1" ref="D16:D844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3646-7F95-4E71-8CC8-CC3761DE1DA5}">
  <dimension ref="A1:E82"/>
  <sheetViews>
    <sheetView zoomScale="85" zoomScaleNormal="85" workbookViewId="0">
      <selection sqref="A1:E1"/>
    </sheetView>
  </sheetViews>
  <sheetFormatPr defaultRowHeight="13.8" x14ac:dyDescent="0.25"/>
  <cols>
    <col min="1" max="1" width="6.6640625" style="29" customWidth="1"/>
    <col min="2" max="3" width="6.6640625" style="30" customWidth="1"/>
    <col min="4" max="4" width="6.6640625" style="31" customWidth="1"/>
    <col min="5" max="5" width="137.77734375" style="26" customWidth="1"/>
    <col min="6" max="16384" width="8.88671875" style="26"/>
  </cols>
  <sheetData>
    <row r="1" spans="1:5" x14ac:dyDescent="0.25">
      <c r="A1" s="84" t="s">
        <v>43</v>
      </c>
      <c r="B1" s="85"/>
      <c r="C1" s="85"/>
      <c r="D1" s="85"/>
      <c r="E1" s="86"/>
    </row>
    <row r="2" spans="1:5" s="28" customFormat="1" x14ac:dyDescent="0.25">
      <c r="A2" s="27" t="s">
        <v>44</v>
      </c>
      <c r="B2" s="27" t="s">
        <v>45</v>
      </c>
      <c r="C2" s="27" t="s">
        <v>16</v>
      </c>
      <c r="D2" s="27" t="s">
        <v>10</v>
      </c>
      <c r="E2" s="27" t="s">
        <v>46</v>
      </c>
    </row>
    <row r="3" spans="1:5" s="33" customFormat="1" x14ac:dyDescent="0.25">
      <c r="A3" s="29">
        <v>115</v>
      </c>
      <c r="B3" s="30">
        <v>10</v>
      </c>
      <c r="C3" s="30">
        <v>1.2</v>
      </c>
      <c r="D3" s="31">
        <v>354</v>
      </c>
      <c r="E3" s="32" t="s">
        <v>47</v>
      </c>
    </row>
    <row r="4" spans="1:5" s="33" customFormat="1" x14ac:dyDescent="0.25">
      <c r="A4" s="29">
        <v>115</v>
      </c>
      <c r="B4" s="30">
        <v>10</v>
      </c>
      <c r="C4" s="30">
        <v>1.2</v>
      </c>
      <c r="D4" s="31">
        <v>304</v>
      </c>
      <c r="E4" s="32" t="s">
        <v>48</v>
      </c>
    </row>
    <row r="5" spans="1:5" s="33" customFormat="1" x14ac:dyDescent="0.25">
      <c r="A5" s="29">
        <v>145</v>
      </c>
      <c r="B5" s="30">
        <v>10</v>
      </c>
      <c r="C5" s="30">
        <v>1.2</v>
      </c>
      <c r="D5" s="31">
        <f>ROUND((ROUND(1.1*(A5+3*B5),0)+10)*C5,0)+50</f>
        <v>294</v>
      </c>
      <c r="E5" s="34" t="s">
        <v>49</v>
      </c>
    </row>
    <row r="6" spans="1:5" s="33" customFormat="1" x14ac:dyDescent="0.25">
      <c r="A6" s="29">
        <v>70</v>
      </c>
      <c r="B6" s="30">
        <v>10</v>
      </c>
      <c r="C6" s="30">
        <v>1.2</v>
      </c>
      <c r="D6" s="31">
        <v>294</v>
      </c>
      <c r="E6" s="32" t="s">
        <v>50</v>
      </c>
    </row>
    <row r="7" spans="1:5" x14ac:dyDescent="0.25">
      <c r="A7" s="29">
        <v>105</v>
      </c>
      <c r="B7" s="30">
        <v>10</v>
      </c>
      <c r="C7" s="30">
        <v>1.2</v>
      </c>
      <c r="D7" s="31">
        <v>291</v>
      </c>
      <c r="E7" s="35" t="s">
        <v>51</v>
      </c>
    </row>
    <row r="8" spans="1:5" s="33" customFormat="1" x14ac:dyDescent="0.25">
      <c r="A8" s="29">
        <v>100</v>
      </c>
      <c r="B8" s="30">
        <v>10</v>
      </c>
      <c r="C8" s="30">
        <v>1.2</v>
      </c>
      <c r="D8" s="31">
        <v>284</v>
      </c>
      <c r="E8" s="32" t="s">
        <v>52</v>
      </c>
    </row>
    <row r="9" spans="1:5" x14ac:dyDescent="0.25">
      <c r="A9" s="36">
        <v>135</v>
      </c>
      <c r="B9" s="37">
        <v>10</v>
      </c>
      <c r="C9" s="37">
        <v>1.2</v>
      </c>
      <c r="D9" s="38">
        <f>ROUND((ROUND(1.1*(A9+3*B9),0)+10)*C9,0)+50</f>
        <v>280</v>
      </c>
      <c r="E9" s="39" t="s">
        <v>53</v>
      </c>
    </row>
    <row r="10" spans="1:5" s="33" customFormat="1" x14ac:dyDescent="0.25">
      <c r="A10" s="29">
        <v>130</v>
      </c>
      <c r="B10" s="30">
        <v>10</v>
      </c>
      <c r="C10" s="30">
        <v>1.2</v>
      </c>
      <c r="D10" s="31">
        <f>ROUND((ROUND(1.1*(A10+3*B10),0)+10)*C10,0)+50</f>
        <v>273</v>
      </c>
      <c r="E10" s="34" t="s">
        <v>54</v>
      </c>
    </row>
    <row r="11" spans="1:5" s="33" customFormat="1" x14ac:dyDescent="0.25">
      <c r="A11" s="29">
        <v>40</v>
      </c>
      <c r="B11" s="30">
        <v>10</v>
      </c>
      <c r="C11" s="30">
        <v>1.2</v>
      </c>
      <c r="D11" s="31">
        <v>270</v>
      </c>
      <c r="E11" s="32" t="s">
        <v>55</v>
      </c>
    </row>
    <row r="12" spans="1:5" s="33" customFormat="1" x14ac:dyDescent="0.25">
      <c r="A12" s="29">
        <v>92</v>
      </c>
      <c r="B12" s="30">
        <v>10</v>
      </c>
      <c r="C12" s="30">
        <v>1.2</v>
      </c>
      <c r="D12" s="31">
        <v>268</v>
      </c>
      <c r="E12" s="34" t="s">
        <v>17</v>
      </c>
    </row>
    <row r="13" spans="1:5" x14ac:dyDescent="0.25">
      <c r="A13" s="29">
        <v>125</v>
      </c>
      <c r="B13" s="30">
        <v>10</v>
      </c>
      <c r="C13" s="30">
        <v>1.2</v>
      </c>
      <c r="D13" s="31">
        <f>ROUND((ROUND(1.1*(A13+3*B13),0)+10)*C13,0)+50</f>
        <v>267</v>
      </c>
      <c r="E13" s="39" t="s">
        <v>56</v>
      </c>
    </row>
    <row r="14" spans="1:5" s="33" customFormat="1" x14ac:dyDescent="0.25">
      <c r="A14" s="29">
        <v>120</v>
      </c>
      <c r="B14" s="30">
        <v>10</v>
      </c>
      <c r="C14" s="30">
        <v>1.2</v>
      </c>
      <c r="D14" s="31">
        <f>ROUND((ROUND(1.1*(A14+3*B14),0)+10)*C14,0)+50</f>
        <v>260</v>
      </c>
      <c r="E14" s="40" t="s">
        <v>57</v>
      </c>
    </row>
    <row r="15" spans="1:5" s="33" customFormat="1" x14ac:dyDescent="0.25">
      <c r="A15" s="29">
        <v>115</v>
      </c>
      <c r="B15" s="30">
        <v>10</v>
      </c>
      <c r="C15" s="30">
        <v>1.2</v>
      </c>
      <c r="D15" s="31">
        <f>ROUND((ROUND(1.1*(A15+3*B15),0)+10)*C15,0)+50</f>
        <v>254</v>
      </c>
      <c r="E15" s="34" t="s">
        <v>58</v>
      </c>
    </row>
    <row r="16" spans="1:5" s="33" customFormat="1" x14ac:dyDescent="0.25">
      <c r="A16" s="29">
        <v>110</v>
      </c>
      <c r="B16" s="30">
        <v>10</v>
      </c>
      <c r="C16" s="30">
        <v>1.2</v>
      </c>
      <c r="D16" s="31">
        <f>ROUND((ROUND(1.1*(A16+3*B16),0)+10)*C16,0)+50</f>
        <v>247</v>
      </c>
      <c r="E16" s="34" t="s">
        <v>59</v>
      </c>
    </row>
    <row r="17" spans="1:5" x14ac:dyDescent="0.25">
      <c r="A17" s="29">
        <v>70</v>
      </c>
      <c r="B17" s="30">
        <v>10</v>
      </c>
      <c r="C17" s="30">
        <v>1.2</v>
      </c>
      <c r="D17" s="31">
        <v>244</v>
      </c>
      <c r="E17" s="32" t="s">
        <v>60</v>
      </c>
    </row>
    <row r="18" spans="1:5" s="33" customFormat="1" x14ac:dyDescent="0.25">
      <c r="A18" s="29">
        <v>105</v>
      </c>
      <c r="B18" s="30">
        <v>10</v>
      </c>
      <c r="C18" s="30">
        <v>1.2</v>
      </c>
      <c r="D18" s="31">
        <f t="shared" ref="D18:D23" si="0">ROUND((ROUND(1.1*(A18+3*B18),0)+10)*C18,0)+50</f>
        <v>241</v>
      </c>
      <c r="E18" s="34" t="s">
        <v>61</v>
      </c>
    </row>
    <row r="19" spans="1:5" x14ac:dyDescent="0.25">
      <c r="A19" s="29">
        <v>100</v>
      </c>
      <c r="B19" s="30">
        <v>10</v>
      </c>
      <c r="C19" s="30">
        <v>1.2</v>
      </c>
      <c r="D19" s="31">
        <f t="shared" si="0"/>
        <v>234</v>
      </c>
      <c r="E19" s="39" t="s">
        <v>62</v>
      </c>
    </row>
    <row r="20" spans="1:5" s="33" customFormat="1" x14ac:dyDescent="0.25">
      <c r="A20" s="29">
        <v>95</v>
      </c>
      <c r="B20" s="30">
        <v>10</v>
      </c>
      <c r="C20" s="30">
        <v>1.2</v>
      </c>
      <c r="D20" s="31">
        <f t="shared" si="0"/>
        <v>228</v>
      </c>
      <c r="E20" s="34" t="s">
        <v>63</v>
      </c>
    </row>
    <row r="21" spans="1:5" x14ac:dyDescent="0.25">
      <c r="A21" s="29">
        <v>92</v>
      </c>
      <c r="B21" s="30">
        <v>10</v>
      </c>
      <c r="C21" s="30">
        <v>1.2</v>
      </c>
      <c r="D21" s="31">
        <f t="shared" si="0"/>
        <v>223</v>
      </c>
      <c r="E21" s="39" t="s">
        <v>17</v>
      </c>
    </row>
    <row r="22" spans="1:5" s="33" customFormat="1" x14ac:dyDescent="0.25">
      <c r="A22" s="29">
        <v>115</v>
      </c>
      <c r="B22" s="30">
        <v>10</v>
      </c>
      <c r="C22" s="30">
        <v>1</v>
      </c>
      <c r="D22" s="31">
        <f t="shared" si="0"/>
        <v>220</v>
      </c>
      <c r="E22" s="34" t="s">
        <v>58</v>
      </c>
    </row>
    <row r="23" spans="1:5" x14ac:dyDescent="0.25">
      <c r="A23" s="29">
        <v>90</v>
      </c>
      <c r="B23" s="30">
        <v>10</v>
      </c>
      <c r="C23" s="30">
        <v>1.2</v>
      </c>
      <c r="D23" s="31">
        <f t="shared" si="0"/>
        <v>220</v>
      </c>
      <c r="E23" s="34" t="s">
        <v>64</v>
      </c>
    </row>
    <row r="24" spans="1:5" s="33" customFormat="1" x14ac:dyDescent="0.25">
      <c r="A24" s="29">
        <v>70</v>
      </c>
      <c r="B24" s="30">
        <v>10</v>
      </c>
      <c r="C24" s="30">
        <v>1</v>
      </c>
      <c r="D24" s="31">
        <v>220</v>
      </c>
      <c r="E24" s="32" t="s">
        <v>60</v>
      </c>
    </row>
    <row r="25" spans="1:5" x14ac:dyDescent="0.25">
      <c r="A25" s="29">
        <v>110</v>
      </c>
      <c r="B25" s="30">
        <v>10</v>
      </c>
      <c r="C25" s="30">
        <v>1</v>
      </c>
      <c r="D25" s="31">
        <f t="shared" ref="D25:D65" si="1">ROUND((ROUND(1.1*(A25+3*B25),0)+10)*C25,0)+50</f>
        <v>214</v>
      </c>
      <c r="E25" s="39" t="s">
        <v>59</v>
      </c>
    </row>
    <row r="26" spans="1:5" s="33" customFormat="1" x14ac:dyDescent="0.25">
      <c r="A26" s="29">
        <v>85</v>
      </c>
      <c r="B26" s="30">
        <v>10</v>
      </c>
      <c r="C26" s="30">
        <v>1.2</v>
      </c>
      <c r="D26" s="31">
        <f t="shared" si="1"/>
        <v>214</v>
      </c>
      <c r="E26" s="34" t="s">
        <v>65</v>
      </c>
    </row>
    <row r="27" spans="1:5" x14ac:dyDescent="0.25">
      <c r="A27" s="29">
        <v>105</v>
      </c>
      <c r="B27" s="30">
        <v>10</v>
      </c>
      <c r="C27" s="30">
        <v>1</v>
      </c>
      <c r="D27" s="31">
        <f t="shared" si="1"/>
        <v>209</v>
      </c>
      <c r="E27" s="39" t="s">
        <v>61</v>
      </c>
    </row>
    <row r="28" spans="1:5" s="33" customFormat="1" x14ac:dyDescent="0.25">
      <c r="A28" s="29">
        <v>80</v>
      </c>
      <c r="B28" s="30">
        <v>10</v>
      </c>
      <c r="C28" s="30">
        <v>1.2</v>
      </c>
      <c r="D28" s="31">
        <f t="shared" si="1"/>
        <v>207</v>
      </c>
      <c r="E28" s="34" t="s">
        <v>66</v>
      </c>
    </row>
    <row r="29" spans="1:5" x14ac:dyDescent="0.25">
      <c r="A29" s="29">
        <v>100</v>
      </c>
      <c r="B29" s="30">
        <v>10</v>
      </c>
      <c r="C29" s="30">
        <v>1</v>
      </c>
      <c r="D29" s="31">
        <f t="shared" si="1"/>
        <v>203</v>
      </c>
      <c r="E29" s="39" t="s">
        <v>62</v>
      </c>
    </row>
    <row r="30" spans="1:5" s="33" customFormat="1" x14ac:dyDescent="0.25">
      <c r="A30" s="29">
        <v>75</v>
      </c>
      <c r="B30" s="30">
        <v>10</v>
      </c>
      <c r="C30" s="30">
        <v>1.2</v>
      </c>
      <c r="D30" s="31">
        <f t="shared" si="1"/>
        <v>201</v>
      </c>
      <c r="E30" s="34" t="s">
        <v>67</v>
      </c>
    </row>
    <row r="31" spans="1:5" x14ac:dyDescent="0.25">
      <c r="A31" s="29">
        <v>95</v>
      </c>
      <c r="B31" s="30">
        <v>10</v>
      </c>
      <c r="C31" s="30">
        <v>1</v>
      </c>
      <c r="D31" s="31">
        <f t="shared" si="1"/>
        <v>198</v>
      </c>
      <c r="E31" s="39" t="s">
        <v>63</v>
      </c>
    </row>
    <row r="32" spans="1:5" s="33" customFormat="1" x14ac:dyDescent="0.25">
      <c r="A32" s="29">
        <v>70</v>
      </c>
      <c r="B32" s="30">
        <v>10</v>
      </c>
      <c r="C32" s="30">
        <v>1.2</v>
      </c>
      <c r="D32" s="31">
        <f t="shared" si="1"/>
        <v>194</v>
      </c>
      <c r="E32" s="34" t="s">
        <v>68</v>
      </c>
    </row>
    <row r="33" spans="1:5" x14ac:dyDescent="0.25">
      <c r="A33" s="29">
        <v>90</v>
      </c>
      <c r="B33" s="30">
        <v>10</v>
      </c>
      <c r="C33" s="30">
        <v>1</v>
      </c>
      <c r="D33" s="31">
        <f t="shared" si="1"/>
        <v>192</v>
      </c>
      <c r="E33" s="34" t="s">
        <v>64</v>
      </c>
    </row>
    <row r="34" spans="1:5" s="33" customFormat="1" x14ac:dyDescent="0.25">
      <c r="A34" s="29">
        <v>65</v>
      </c>
      <c r="B34" s="30">
        <v>10</v>
      </c>
      <c r="C34" s="30">
        <v>1.2</v>
      </c>
      <c r="D34" s="31">
        <f t="shared" si="1"/>
        <v>188</v>
      </c>
      <c r="E34" s="34" t="s">
        <v>69</v>
      </c>
    </row>
    <row r="35" spans="1:5" x14ac:dyDescent="0.25">
      <c r="A35" s="29">
        <v>115</v>
      </c>
      <c r="B35" s="30">
        <v>0</v>
      </c>
      <c r="C35" s="30">
        <v>1</v>
      </c>
      <c r="D35" s="31">
        <f t="shared" si="1"/>
        <v>187</v>
      </c>
      <c r="E35" s="39" t="s">
        <v>58</v>
      </c>
    </row>
    <row r="36" spans="1:5" s="33" customFormat="1" x14ac:dyDescent="0.25">
      <c r="A36" s="29">
        <v>85</v>
      </c>
      <c r="B36" s="30">
        <v>10</v>
      </c>
      <c r="C36" s="30">
        <v>1</v>
      </c>
      <c r="D36" s="31">
        <f t="shared" si="1"/>
        <v>187</v>
      </c>
      <c r="E36" s="34" t="s">
        <v>65</v>
      </c>
    </row>
    <row r="37" spans="1:5" x14ac:dyDescent="0.25">
      <c r="A37" s="29">
        <v>110</v>
      </c>
      <c r="B37" s="30">
        <v>0</v>
      </c>
      <c r="C37" s="30">
        <v>1</v>
      </c>
      <c r="D37" s="31">
        <f t="shared" si="1"/>
        <v>181</v>
      </c>
      <c r="E37" s="39" t="s">
        <v>59</v>
      </c>
    </row>
    <row r="38" spans="1:5" s="33" customFormat="1" x14ac:dyDescent="0.25">
      <c r="A38" s="29">
        <v>80</v>
      </c>
      <c r="B38" s="30">
        <v>10</v>
      </c>
      <c r="C38" s="30">
        <v>1</v>
      </c>
      <c r="D38" s="31">
        <f t="shared" si="1"/>
        <v>181</v>
      </c>
      <c r="E38" s="34" t="s">
        <v>66</v>
      </c>
    </row>
    <row r="39" spans="1:5" x14ac:dyDescent="0.25">
      <c r="A39" s="29">
        <v>60</v>
      </c>
      <c r="B39" s="30">
        <v>10</v>
      </c>
      <c r="C39" s="30">
        <v>1.2</v>
      </c>
      <c r="D39" s="31">
        <f t="shared" si="1"/>
        <v>181</v>
      </c>
      <c r="E39" s="34" t="s">
        <v>70</v>
      </c>
    </row>
    <row r="40" spans="1:5" s="33" customFormat="1" x14ac:dyDescent="0.25">
      <c r="A40" s="29">
        <v>105</v>
      </c>
      <c r="B40" s="30">
        <v>0</v>
      </c>
      <c r="C40" s="30">
        <v>1</v>
      </c>
      <c r="D40" s="31">
        <f t="shared" si="1"/>
        <v>176</v>
      </c>
      <c r="E40" s="34" t="s">
        <v>61</v>
      </c>
    </row>
    <row r="41" spans="1:5" x14ac:dyDescent="0.25">
      <c r="A41" s="29">
        <v>75</v>
      </c>
      <c r="B41" s="30">
        <v>10</v>
      </c>
      <c r="C41" s="30">
        <v>1</v>
      </c>
      <c r="D41" s="31">
        <f t="shared" si="1"/>
        <v>176</v>
      </c>
      <c r="E41" s="39" t="s">
        <v>67</v>
      </c>
    </row>
    <row r="42" spans="1:5" s="33" customFormat="1" x14ac:dyDescent="0.25">
      <c r="A42" s="29">
        <v>55</v>
      </c>
      <c r="B42" s="30">
        <v>10</v>
      </c>
      <c r="C42" s="30">
        <v>1.2</v>
      </c>
      <c r="D42" s="31">
        <f t="shared" si="1"/>
        <v>175</v>
      </c>
      <c r="E42" s="34" t="s">
        <v>71</v>
      </c>
    </row>
    <row r="43" spans="1:5" x14ac:dyDescent="0.25">
      <c r="A43" s="29">
        <v>100</v>
      </c>
      <c r="B43" s="30">
        <v>0</v>
      </c>
      <c r="C43" s="30">
        <v>1</v>
      </c>
      <c r="D43" s="31">
        <f t="shared" si="1"/>
        <v>170</v>
      </c>
      <c r="E43" s="39" t="s">
        <v>62</v>
      </c>
    </row>
    <row r="44" spans="1:5" s="33" customFormat="1" x14ac:dyDescent="0.25">
      <c r="A44" s="29">
        <v>70</v>
      </c>
      <c r="B44" s="30">
        <v>10</v>
      </c>
      <c r="C44" s="30">
        <v>1</v>
      </c>
      <c r="D44" s="31">
        <f t="shared" si="1"/>
        <v>170</v>
      </c>
      <c r="E44" s="34" t="s">
        <v>68</v>
      </c>
    </row>
    <row r="45" spans="1:5" x14ac:dyDescent="0.25">
      <c r="A45" s="29">
        <v>50</v>
      </c>
      <c r="B45" s="30">
        <v>10</v>
      </c>
      <c r="C45" s="30">
        <v>1.2</v>
      </c>
      <c r="D45" s="31">
        <f t="shared" si="1"/>
        <v>168</v>
      </c>
      <c r="E45" s="34" t="s">
        <v>72</v>
      </c>
    </row>
    <row r="46" spans="1:5" x14ac:dyDescent="0.25">
      <c r="A46" s="29">
        <v>95</v>
      </c>
      <c r="B46" s="30">
        <v>0</v>
      </c>
      <c r="C46" s="30">
        <v>1</v>
      </c>
      <c r="D46" s="31">
        <f t="shared" si="1"/>
        <v>165</v>
      </c>
      <c r="E46" s="34" t="s">
        <v>63</v>
      </c>
    </row>
    <row r="47" spans="1:5" s="33" customFormat="1" x14ac:dyDescent="0.25">
      <c r="A47" s="29">
        <v>65</v>
      </c>
      <c r="B47" s="30">
        <v>10</v>
      </c>
      <c r="C47" s="30">
        <v>1</v>
      </c>
      <c r="D47" s="31">
        <f t="shared" si="1"/>
        <v>165</v>
      </c>
      <c r="E47" s="34" t="s">
        <v>69</v>
      </c>
    </row>
    <row r="48" spans="1:5" x14ac:dyDescent="0.25">
      <c r="A48" s="36">
        <v>90</v>
      </c>
      <c r="B48" s="37">
        <v>0</v>
      </c>
      <c r="C48" s="37">
        <v>1</v>
      </c>
      <c r="D48" s="38">
        <f t="shared" si="1"/>
        <v>159</v>
      </c>
      <c r="E48" s="39" t="s">
        <v>64</v>
      </c>
    </row>
    <row r="49" spans="1:5" s="33" customFormat="1" x14ac:dyDescent="0.25">
      <c r="A49" s="29">
        <v>60</v>
      </c>
      <c r="B49" s="30">
        <v>10</v>
      </c>
      <c r="C49" s="30">
        <v>1</v>
      </c>
      <c r="D49" s="31">
        <f t="shared" si="1"/>
        <v>159</v>
      </c>
      <c r="E49" s="34" t="s">
        <v>70</v>
      </c>
    </row>
    <row r="50" spans="1:5" x14ac:dyDescent="0.25">
      <c r="A50" s="41">
        <v>44</v>
      </c>
      <c r="B50" s="42">
        <v>10</v>
      </c>
      <c r="C50" s="42">
        <v>1.2</v>
      </c>
      <c r="D50" s="43">
        <f t="shared" si="1"/>
        <v>159</v>
      </c>
      <c r="E50" s="39" t="s">
        <v>73</v>
      </c>
    </row>
    <row r="51" spans="1:5" s="33" customFormat="1" x14ac:dyDescent="0.25">
      <c r="A51" s="29">
        <v>85</v>
      </c>
      <c r="B51" s="30">
        <v>0</v>
      </c>
      <c r="C51" s="30">
        <v>1</v>
      </c>
      <c r="D51" s="31">
        <f t="shared" si="1"/>
        <v>154</v>
      </c>
      <c r="E51" s="34" t="s">
        <v>65</v>
      </c>
    </row>
    <row r="52" spans="1:5" x14ac:dyDescent="0.25">
      <c r="A52" s="29">
        <v>55</v>
      </c>
      <c r="B52" s="30">
        <v>10</v>
      </c>
      <c r="C52" s="30">
        <v>1</v>
      </c>
      <c r="D52" s="31">
        <f t="shared" si="1"/>
        <v>154</v>
      </c>
      <c r="E52" s="39" t="s">
        <v>71</v>
      </c>
    </row>
    <row r="53" spans="1:5" s="33" customFormat="1" x14ac:dyDescent="0.25">
      <c r="A53" s="29">
        <v>40</v>
      </c>
      <c r="B53" s="30">
        <v>10</v>
      </c>
      <c r="C53" s="30">
        <v>1.2</v>
      </c>
      <c r="D53" s="31">
        <f t="shared" si="1"/>
        <v>154</v>
      </c>
      <c r="E53" s="34" t="s">
        <v>74</v>
      </c>
    </row>
    <row r="54" spans="1:5" x14ac:dyDescent="0.25">
      <c r="A54" s="29">
        <v>80</v>
      </c>
      <c r="B54" s="30">
        <v>0</v>
      </c>
      <c r="C54" s="30">
        <v>1</v>
      </c>
      <c r="D54" s="31">
        <f t="shared" si="1"/>
        <v>148</v>
      </c>
      <c r="E54" s="39" t="s">
        <v>66</v>
      </c>
    </row>
    <row r="55" spans="1:5" s="33" customFormat="1" x14ac:dyDescent="0.25">
      <c r="A55" s="29">
        <v>50</v>
      </c>
      <c r="B55" s="30">
        <v>10</v>
      </c>
      <c r="C55" s="30">
        <v>1</v>
      </c>
      <c r="D55" s="31">
        <f t="shared" si="1"/>
        <v>148</v>
      </c>
      <c r="E55" s="34" t="s">
        <v>72</v>
      </c>
    </row>
    <row r="56" spans="1:5" x14ac:dyDescent="0.25">
      <c r="A56" s="29">
        <v>75</v>
      </c>
      <c r="B56" s="30">
        <v>0</v>
      </c>
      <c r="C56" s="30">
        <v>1</v>
      </c>
      <c r="D56" s="31">
        <f t="shared" si="1"/>
        <v>143</v>
      </c>
      <c r="E56" s="39" t="s">
        <v>67</v>
      </c>
    </row>
    <row r="57" spans="1:5" s="33" customFormat="1" x14ac:dyDescent="0.25">
      <c r="A57" s="29">
        <v>44</v>
      </c>
      <c r="B57" s="30">
        <v>10</v>
      </c>
      <c r="C57" s="30">
        <v>1</v>
      </c>
      <c r="D57" s="31">
        <f t="shared" si="1"/>
        <v>141</v>
      </c>
      <c r="E57" s="34" t="s">
        <v>73</v>
      </c>
    </row>
    <row r="58" spans="1:5" x14ac:dyDescent="0.25">
      <c r="A58" s="29">
        <v>70</v>
      </c>
      <c r="B58" s="30">
        <v>0</v>
      </c>
      <c r="C58" s="30">
        <v>1</v>
      </c>
      <c r="D58" s="31">
        <f t="shared" si="1"/>
        <v>137</v>
      </c>
      <c r="E58" s="39" t="s">
        <v>68</v>
      </c>
    </row>
    <row r="59" spans="1:5" s="33" customFormat="1" x14ac:dyDescent="0.25">
      <c r="A59" s="29">
        <v>40</v>
      </c>
      <c r="B59" s="30">
        <v>10</v>
      </c>
      <c r="C59" s="30">
        <v>1</v>
      </c>
      <c r="D59" s="31">
        <f t="shared" si="1"/>
        <v>137</v>
      </c>
      <c r="E59" s="34" t="s">
        <v>74</v>
      </c>
    </row>
    <row r="60" spans="1:5" x14ac:dyDescent="0.25">
      <c r="A60" s="29">
        <v>65</v>
      </c>
      <c r="B60" s="30">
        <v>0</v>
      </c>
      <c r="C60" s="30">
        <v>1</v>
      </c>
      <c r="D60" s="31">
        <f t="shared" si="1"/>
        <v>132</v>
      </c>
      <c r="E60" s="39" t="s">
        <v>69</v>
      </c>
    </row>
    <row r="61" spans="1:5" s="33" customFormat="1" x14ac:dyDescent="0.25">
      <c r="A61" s="29">
        <v>60</v>
      </c>
      <c r="B61" s="30">
        <v>0</v>
      </c>
      <c r="C61" s="30">
        <v>1</v>
      </c>
      <c r="D61" s="31">
        <f t="shared" si="1"/>
        <v>126</v>
      </c>
      <c r="E61" s="34" t="s">
        <v>70</v>
      </c>
    </row>
    <row r="62" spans="1:5" x14ac:dyDescent="0.25">
      <c r="A62" s="29">
        <v>55</v>
      </c>
      <c r="B62" s="30">
        <v>0</v>
      </c>
      <c r="C62" s="30">
        <v>1</v>
      </c>
      <c r="D62" s="31">
        <f t="shared" si="1"/>
        <v>121</v>
      </c>
      <c r="E62" s="39" t="s">
        <v>71</v>
      </c>
    </row>
    <row r="63" spans="1:5" s="33" customFormat="1" x14ac:dyDescent="0.25">
      <c r="A63" s="29">
        <v>50</v>
      </c>
      <c r="B63" s="30">
        <v>0</v>
      </c>
      <c r="C63" s="30">
        <v>1</v>
      </c>
      <c r="D63" s="31">
        <f t="shared" si="1"/>
        <v>115</v>
      </c>
      <c r="E63" s="34" t="s">
        <v>72</v>
      </c>
    </row>
    <row r="64" spans="1:5" x14ac:dyDescent="0.25">
      <c r="A64" s="29">
        <v>44</v>
      </c>
      <c r="B64" s="30">
        <v>0</v>
      </c>
      <c r="C64" s="30">
        <v>1</v>
      </c>
      <c r="D64" s="31">
        <f t="shared" si="1"/>
        <v>108</v>
      </c>
      <c r="E64" s="39" t="s">
        <v>73</v>
      </c>
    </row>
    <row r="65" spans="1:5" s="33" customFormat="1" x14ac:dyDescent="0.25">
      <c r="A65" s="29">
        <v>40</v>
      </c>
      <c r="B65" s="30">
        <v>0</v>
      </c>
      <c r="C65" s="37">
        <v>1</v>
      </c>
      <c r="D65" s="38">
        <f t="shared" si="1"/>
        <v>104</v>
      </c>
      <c r="E65" s="34" t="s">
        <v>74</v>
      </c>
    </row>
    <row r="66" spans="1:5" x14ac:dyDescent="0.25">
      <c r="A66" s="44" t="s">
        <v>75</v>
      </c>
      <c r="B66" s="45" t="s">
        <v>76</v>
      </c>
      <c r="C66" s="46"/>
      <c r="D66" s="46"/>
      <c r="E66" s="47"/>
    </row>
    <row r="67" spans="1:5" x14ac:dyDescent="0.25">
      <c r="A67" s="48"/>
      <c r="B67" s="49" t="s">
        <v>77</v>
      </c>
      <c r="C67" s="26"/>
      <c r="D67" s="26"/>
      <c r="E67" s="50"/>
    </row>
    <row r="68" spans="1:5" x14ac:dyDescent="0.25">
      <c r="A68" s="48"/>
      <c r="B68" s="49" t="s">
        <v>78</v>
      </c>
      <c r="C68" s="26"/>
      <c r="D68" s="26"/>
      <c r="E68" s="50"/>
    </row>
    <row r="69" spans="1:5" x14ac:dyDescent="0.25">
      <c r="A69" s="48"/>
      <c r="B69" s="49" t="s">
        <v>79</v>
      </c>
      <c r="C69" s="26"/>
      <c r="D69" s="26"/>
      <c r="E69" s="50"/>
    </row>
    <row r="70" spans="1:5" x14ac:dyDescent="0.25">
      <c r="A70" s="48"/>
      <c r="B70" s="49" t="s">
        <v>80</v>
      </c>
      <c r="C70" s="26"/>
      <c r="D70" s="26"/>
      <c r="E70" s="50"/>
    </row>
    <row r="71" spans="1:5" x14ac:dyDescent="0.25">
      <c r="A71" s="51"/>
      <c r="B71" s="52"/>
      <c r="C71" s="52"/>
      <c r="D71" s="52"/>
      <c r="E71" s="53" t="s">
        <v>81</v>
      </c>
    </row>
    <row r="72" spans="1:5" x14ac:dyDescent="0.25">
      <c r="A72" s="26"/>
      <c r="B72" s="26"/>
      <c r="C72" s="26"/>
      <c r="D72" s="26"/>
    </row>
    <row r="73" spans="1:5" x14ac:dyDescent="0.25">
      <c r="A73" s="26"/>
      <c r="B73" s="26"/>
      <c r="C73" s="26"/>
      <c r="D73" s="26"/>
    </row>
    <row r="74" spans="1:5" x14ac:dyDescent="0.25">
      <c r="A74" s="26"/>
      <c r="B74" s="26"/>
      <c r="C74" s="26"/>
      <c r="D74" s="26"/>
    </row>
    <row r="75" spans="1:5" x14ac:dyDescent="0.25">
      <c r="A75" s="26"/>
      <c r="B75" s="26"/>
      <c r="C75" s="26"/>
      <c r="D75" s="26"/>
    </row>
    <row r="76" spans="1:5" x14ac:dyDescent="0.25">
      <c r="A76" s="26"/>
      <c r="B76" s="26"/>
      <c r="C76" s="26"/>
      <c r="D76" s="26"/>
    </row>
    <row r="77" spans="1:5" x14ac:dyDescent="0.25">
      <c r="A77" s="26"/>
      <c r="B77" s="26"/>
      <c r="C77" s="26"/>
      <c r="D77" s="26"/>
    </row>
    <row r="78" spans="1:5" x14ac:dyDescent="0.25">
      <c r="A78" s="26"/>
      <c r="B78" s="26"/>
      <c r="C78" s="26"/>
      <c r="D78" s="26"/>
    </row>
    <row r="79" spans="1:5" x14ac:dyDescent="0.25">
      <c r="A79" s="26"/>
      <c r="B79" s="26"/>
      <c r="C79" s="26"/>
      <c r="D79" s="26"/>
    </row>
    <row r="80" spans="1:5" x14ac:dyDescent="0.25">
      <c r="A80" s="26"/>
      <c r="B80" s="26"/>
      <c r="C80" s="26"/>
      <c r="D80" s="26"/>
    </row>
    <row r="81" s="26" customFormat="1" x14ac:dyDescent="0.25"/>
    <row r="82" s="26" customFormat="1" x14ac:dyDescent="0.25"/>
  </sheetData>
  <mergeCells count="1"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88CE-99C3-4BD7-8365-605DAEDF9CEE}">
  <dimension ref="A1:Z25"/>
  <sheetViews>
    <sheetView zoomScale="130" zoomScaleNormal="130" workbookViewId="0">
      <selection sqref="A1:B2"/>
    </sheetView>
  </sheetViews>
  <sheetFormatPr defaultColWidth="6.6640625" defaultRowHeight="13.8" x14ac:dyDescent="0.25"/>
  <sheetData>
    <row r="1" spans="1:26" x14ac:dyDescent="0.25">
      <c r="A1" s="87" t="s">
        <v>96</v>
      </c>
      <c r="B1" s="88"/>
      <c r="C1" s="89" t="s">
        <v>97</v>
      </c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58"/>
      <c r="V1" s="58"/>
      <c r="W1" s="58"/>
      <c r="X1" s="58"/>
      <c r="Y1" s="58"/>
      <c r="Z1" s="58"/>
    </row>
    <row r="2" spans="1:26" ht="14.4" x14ac:dyDescent="0.25">
      <c r="A2" s="88"/>
      <c r="B2" s="88"/>
      <c r="C2" s="59" t="s">
        <v>98</v>
      </c>
      <c r="D2" s="59" t="s">
        <v>99</v>
      </c>
      <c r="E2" s="59" t="s">
        <v>100</v>
      </c>
      <c r="F2" s="59" t="s">
        <v>101</v>
      </c>
      <c r="G2" s="59" t="s">
        <v>102</v>
      </c>
      <c r="H2" s="59" t="s">
        <v>103</v>
      </c>
      <c r="I2" s="59" t="s">
        <v>104</v>
      </c>
      <c r="J2" s="59" t="s">
        <v>105</v>
      </c>
      <c r="K2" s="59" t="s">
        <v>106</v>
      </c>
      <c r="L2" s="59" t="s">
        <v>107</v>
      </c>
      <c r="M2" s="59" t="s">
        <v>108</v>
      </c>
      <c r="N2" s="59" t="s">
        <v>109</v>
      </c>
      <c r="O2" s="59" t="s">
        <v>110</v>
      </c>
      <c r="P2" s="59" t="s">
        <v>111</v>
      </c>
      <c r="Q2" s="59" t="s">
        <v>112</v>
      </c>
      <c r="R2" s="59" t="s">
        <v>113</v>
      </c>
      <c r="S2" s="59" t="s">
        <v>114</v>
      </c>
      <c r="T2" s="59" t="s">
        <v>115</v>
      </c>
      <c r="U2" s="58"/>
      <c r="V2" s="58"/>
      <c r="W2" s="58"/>
      <c r="X2" s="58"/>
      <c r="Y2" s="58"/>
      <c r="Z2" s="58"/>
    </row>
    <row r="3" spans="1:26" x14ac:dyDescent="0.25">
      <c r="A3" s="90" t="s">
        <v>116</v>
      </c>
      <c r="B3" s="29" t="s">
        <v>98</v>
      </c>
      <c r="C3" s="60"/>
      <c r="D3" s="60"/>
      <c r="E3" s="60"/>
      <c r="F3" s="60"/>
      <c r="G3" s="60"/>
      <c r="H3" s="61" t="s">
        <v>117</v>
      </c>
      <c r="I3" s="60"/>
      <c r="J3" s="60"/>
      <c r="K3" s="60"/>
      <c r="L3" s="60"/>
      <c r="M3" s="60"/>
      <c r="N3" s="60"/>
      <c r="O3" s="60"/>
      <c r="P3" s="60"/>
      <c r="Q3" s="61" t="s">
        <v>117</v>
      </c>
      <c r="R3" s="60"/>
      <c r="S3" s="61" t="s">
        <v>117</v>
      </c>
      <c r="T3" s="60"/>
      <c r="U3" s="58"/>
      <c r="V3" s="58"/>
      <c r="W3" s="58"/>
      <c r="X3" s="58"/>
      <c r="Y3" s="58"/>
      <c r="Z3" s="58"/>
    </row>
    <row r="4" spans="1:26" x14ac:dyDescent="0.25">
      <c r="A4" s="91"/>
      <c r="B4" s="29" t="s">
        <v>99</v>
      </c>
      <c r="C4" s="60"/>
      <c r="D4" s="62"/>
      <c r="E4" s="61" t="s">
        <v>117</v>
      </c>
      <c r="F4" s="63" t="s">
        <v>118</v>
      </c>
      <c r="G4" s="63" t="s">
        <v>118</v>
      </c>
      <c r="H4" s="63" t="s">
        <v>118</v>
      </c>
      <c r="I4" s="64"/>
      <c r="J4" s="61" t="s">
        <v>117</v>
      </c>
      <c r="K4" s="60"/>
      <c r="L4" s="61" t="s">
        <v>117</v>
      </c>
      <c r="M4" s="61" t="s">
        <v>117</v>
      </c>
      <c r="N4" s="60"/>
      <c r="O4" s="61" t="s">
        <v>117</v>
      </c>
      <c r="P4" s="60"/>
      <c r="Q4" s="60"/>
      <c r="R4" s="60"/>
      <c r="S4" s="61" t="s">
        <v>117</v>
      </c>
      <c r="T4" s="60"/>
      <c r="U4" s="58"/>
      <c r="V4" s="58"/>
      <c r="W4" s="58"/>
      <c r="X4" s="58"/>
      <c r="Y4" s="58"/>
      <c r="Z4" s="58"/>
    </row>
    <row r="5" spans="1:26" x14ac:dyDescent="0.25">
      <c r="A5" s="91"/>
      <c r="B5" s="29" t="s">
        <v>100</v>
      </c>
      <c r="C5" s="60"/>
      <c r="D5" s="63" t="s">
        <v>118</v>
      </c>
      <c r="E5" s="62"/>
      <c r="F5" s="61" t="s">
        <v>117</v>
      </c>
      <c r="G5" s="62"/>
      <c r="H5" s="61" t="s">
        <v>117</v>
      </c>
      <c r="I5" s="63" t="s">
        <v>118</v>
      </c>
      <c r="J5" s="61" t="s">
        <v>117</v>
      </c>
      <c r="K5" s="65"/>
      <c r="L5" s="60"/>
      <c r="M5" s="63" t="s">
        <v>118</v>
      </c>
      <c r="N5" s="60"/>
      <c r="O5" s="60"/>
      <c r="P5" s="60"/>
      <c r="Q5" s="60"/>
      <c r="R5" s="60"/>
      <c r="S5" s="63" t="s">
        <v>118</v>
      </c>
      <c r="T5" s="60"/>
      <c r="U5" s="58"/>
      <c r="V5" s="58"/>
      <c r="W5" s="58"/>
      <c r="X5" s="58"/>
      <c r="Y5" s="58"/>
      <c r="Z5" s="58"/>
    </row>
    <row r="6" spans="1:26" x14ac:dyDescent="0.25">
      <c r="A6" s="91"/>
      <c r="B6" s="29" t="s">
        <v>101</v>
      </c>
      <c r="C6" s="60"/>
      <c r="D6" s="61" t="s">
        <v>117</v>
      </c>
      <c r="E6" s="63" t="s">
        <v>118</v>
      </c>
      <c r="F6" s="60"/>
      <c r="G6" s="60"/>
      <c r="H6" s="63" t="s">
        <v>118</v>
      </c>
      <c r="I6" s="61" t="s">
        <v>117</v>
      </c>
      <c r="J6" s="61" t="s">
        <v>117</v>
      </c>
      <c r="K6" s="60"/>
      <c r="L6" s="60"/>
      <c r="M6" s="60"/>
      <c r="N6" s="60"/>
      <c r="O6" s="60"/>
      <c r="P6" s="60"/>
      <c r="Q6" s="60"/>
      <c r="R6" s="60"/>
      <c r="S6" s="63" t="s">
        <v>118</v>
      </c>
      <c r="T6" s="65"/>
      <c r="U6" s="58"/>
      <c r="V6" s="58"/>
      <c r="W6" s="58"/>
      <c r="X6" s="58"/>
      <c r="Y6" s="58"/>
      <c r="Z6" s="58"/>
    </row>
    <row r="7" spans="1:26" x14ac:dyDescent="0.25">
      <c r="A7" s="91"/>
      <c r="B7" s="29" t="s">
        <v>102</v>
      </c>
      <c r="C7" s="60"/>
      <c r="D7" s="61" t="s">
        <v>117</v>
      </c>
      <c r="E7" s="60"/>
      <c r="F7" s="60"/>
      <c r="G7" s="60"/>
      <c r="H7" s="60"/>
      <c r="I7" s="61" t="s">
        <v>117</v>
      </c>
      <c r="J7" s="60"/>
      <c r="K7" s="60"/>
      <c r="L7" s="60"/>
      <c r="M7" s="60"/>
      <c r="N7" s="60"/>
      <c r="O7" s="60"/>
      <c r="P7" s="60"/>
      <c r="Q7" s="63" t="s">
        <v>118</v>
      </c>
      <c r="R7" s="63" t="s">
        <v>118</v>
      </c>
      <c r="S7" s="60"/>
      <c r="T7" s="60"/>
      <c r="U7" s="58"/>
      <c r="V7" s="58"/>
      <c r="W7" s="58"/>
      <c r="X7" s="58"/>
      <c r="Y7" s="58"/>
      <c r="Z7" s="58"/>
    </row>
    <row r="8" spans="1:26" x14ac:dyDescent="0.25">
      <c r="A8" s="91"/>
      <c r="B8" s="29" t="s">
        <v>103</v>
      </c>
      <c r="C8" s="60"/>
      <c r="D8" s="61" t="s">
        <v>119</v>
      </c>
      <c r="E8" s="63" t="s">
        <v>118</v>
      </c>
      <c r="F8" s="60"/>
      <c r="G8" s="60"/>
      <c r="H8" s="60"/>
      <c r="I8" s="63" t="s">
        <v>118</v>
      </c>
      <c r="J8" s="60"/>
      <c r="K8" s="63" t="s">
        <v>118</v>
      </c>
      <c r="L8" s="63" t="s">
        <v>118</v>
      </c>
      <c r="M8" s="60"/>
      <c r="N8" s="61" t="s">
        <v>117</v>
      </c>
      <c r="O8" s="60"/>
      <c r="P8" s="60"/>
      <c r="Q8" s="60"/>
      <c r="R8" s="60"/>
      <c r="S8" s="60"/>
      <c r="T8" s="60"/>
      <c r="U8" s="58"/>
      <c r="V8" s="58"/>
      <c r="W8" s="58"/>
      <c r="X8" s="58"/>
      <c r="Y8" s="58"/>
      <c r="Z8" s="58"/>
    </row>
    <row r="9" spans="1:26" x14ac:dyDescent="0.25">
      <c r="A9" s="91"/>
      <c r="B9" s="29" t="s">
        <v>104</v>
      </c>
      <c r="C9" s="60"/>
      <c r="D9" s="63" t="s">
        <v>118</v>
      </c>
      <c r="E9" s="61" t="s">
        <v>117</v>
      </c>
      <c r="F9" s="60"/>
      <c r="G9" s="62"/>
      <c r="H9" s="63" t="s">
        <v>118</v>
      </c>
      <c r="I9" s="61" t="s">
        <v>117</v>
      </c>
      <c r="J9" s="63" t="s">
        <v>118</v>
      </c>
      <c r="K9" s="60"/>
      <c r="L9" s="60"/>
      <c r="M9" s="60"/>
      <c r="N9" s="60"/>
      <c r="O9" s="63" t="s">
        <v>118</v>
      </c>
      <c r="P9" s="60"/>
      <c r="Q9" s="60"/>
      <c r="R9" s="60"/>
      <c r="S9" s="61" t="s">
        <v>117</v>
      </c>
      <c r="T9" s="62"/>
      <c r="U9" s="58"/>
      <c r="V9" s="58"/>
      <c r="W9" s="58"/>
      <c r="X9" s="58"/>
      <c r="Y9" s="58"/>
      <c r="Z9" s="58"/>
    </row>
    <row r="10" spans="1:26" x14ac:dyDescent="0.25">
      <c r="A10" s="91"/>
      <c r="B10" s="29" t="s">
        <v>105</v>
      </c>
      <c r="C10" s="60"/>
      <c r="D10" s="60"/>
      <c r="E10" s="60"/>
      <c r="F10" s="60"/>
      <c r="G10" s="60"/>
      <c r="H10" s="60"/>
      <c r="I10" s="60"/>
      <c r="J10" s="63" t="s">
        <v>120</v>
      </c>
      <c r="K10" s="60"/>
      <c r="L10" s="60"/>
      <c r="M10" s="60"/>
      <c r="N10" s="60"/>
      <c r="O10" s="60"/>
      <c r="P10" s="60"/>
      <c r="Q10" s="60"/>
      <c r="R10" s="60"/>
      <c r="S10" s="61" t="s">
        <v>117</v>
      </c>
      <c r="T10" s="62"/>
      <c r="U10" s="58"/>
      <c r="V10" s="58"/>
      <c r="W10" s="58"/>
      <c r="X10" s="58"/>
      <c r="Y10" s="58"/>
      <c r="Z10" s="58"/>
    </row>
    <row r="11" spans="1:26" x14ac:dyDescent="0.25">
      <c r="A11" s="91"/>
      <c r="B11" s="29" t="s">
        <v>106</v>
      </c>
      <c r="C11" s="60"/>
      <c r="D11" s="61" t="s">
        <v>117</v>
      </c>
      <c r="E11" s="60"/>
      <c r="F11" s="63" t="s">
        <v>118</v>
      </c>
      <c r="G11" s="60"/>
      <c r="H11" s="61" t="s">
        <v>117</v>
      </c>
      <c r="I11" s="60"/>
      <c r="J11" s="61" t="s">
        <v>117</v>
      </c>
      <c r="K11" s="61" t="s">
        <v>117</v>
      </c>
      <c r="L11" s="60"/>
      <c r="M11" s="60"/>
      <c r="N11" s="60"/>
      <c r="O11" s="63" t="s">
        <v>118</v>
      </c>
      <c r="P11" s="60"/>
      <c r="Q11" s="60"/>
      <c r="R11" s="60"/>
      <c r="S11" s="60"/>
      <c r="T11" s="60"/>
      <c r="U11" s="58"/>
      <c r="V11" s="58"/>
      <c r="W11" s="58"/>
      <c r="X11" s="58"/>
      <c r="Y11" s="58"/>
      <c r="Z11" s="58"/>
    </row>
    <row r="12" spans="1:26" x14ac:dyDescent="0.25">
      <c r="A12" s="91"/>
      <c r="B12" s="29" t="s">
        <v>107</v>
      </c>
      <c r="C12" s="60"/>
      <c r="D12" s="63" t="s">
        <v>118</v>
      </c>
      <c r="E12" s="60"/>
      <c r="F12" s="60"/>
      <c r="G12" s="60"/>
      <c r="H12" s="61" t="s">
        <v>117</v>
      </c>
      <c r="I12" s="60"/>
      <c r="J12" s="60"/>
      <c r="K12" s="60"/>
      <c r="L12" s="61" t="s">
        <v>117</v>
      </c>
      <c r="M12" s="60"/>
      <c r="N12" s="60"/>
      <c r="O12" s="60"/>
      <c r="P12" s="63" t="s">
        <v>118</v>
      </c>
      <c r="Q12" s="61" t="s">
        <v>117</v>
      </c>
      <c r="R12" s="60"/>
      <c r="S12" s="61" t="s">
        <v>117</v>
      </c>
      <c r="T12" s="64"/>
      <c r="U12" s="58"/>
      <c r="V12" s="58"/>
      <c r="W12" s="58"/>
      <c r="X12" s="58"/>
      <c r="Y12" s="58"/>
      <c r="Z12" s="58"/>
    </row>
    <row r="13" spans="1:26" x14ac:dyDescent="0.25">
      <c r="A13" s="91"/>
      <c r="B13" s="29" t="s">
        <v>108</v>
      </c>
      <c r="C13" s="60"/>
      <c r="D13" s="63" t="s">
        <v>118</v>
      </c>
      <c r="E13" s="61" t="s">
        <v>117</v>
      </c>
      <c r="F13" s="60"/>
      <c r="G13" s="60"/>
      <c r="H13" s="60"/>
      <c r="I13" s="60"/>
      <c r="J13" s="60"/>
      <c r="K13" s="60"/>
      <c r="L13" s="61" t="s">
        <v>117</v>
      </c>
      <c r="M13" s="64"/>
      <c r="N13" s="61" t="s">
        <v>117</v>
      </c>
      <c r="O13" s="61" t="s">
        <v>117</v>
      </c>
      <c r="P13" s="61" t="s">
        <v>117</v>
      </c>
      <c r="Q13" s="61" t="s">
        <v>117</v>
      </c>
      <c r="R13" s="63" t="s">
        <v>118</v>
      </c>
      <c r="S13" s="61" t="s">
        <v>117</v>
      </c>
      <c r="T13" s="63" t="s">
        <v>118</v>
      </c>
      <c r="U13" s="58"/>
      <c r="V13" s="58"/>
      <c r="W13" s="58"/>
      <c r="X13" s="58"/>
      <c r="Y13" s="58"/>
      <c r="Z13" s="58"/>
    </row>
    <row r="14" spans="1:26" x14ac:dyDescent="0.25">
      <c r="A14" s="91"/>
      <c r="B14" s="29" t="s">
        <v>109</v>
      </c>
      <c r="C14" s="63" t="s">
        <v>118</v>
      </c>
      <c r="D14" s="60"/>
      <c r="E14" s="60"/>
      <c r="F14" s="60"/>
      <c r="G14" s="65"/>
      <c r="H14" s="63" t="s">
        <v>118</v>
      </c>
      <c r="I14" s="63" t="s">
        <v>118</v>
      </c>
      <c r="J14" s="60"/>
      <c r="K14" s="60"/>
      <c r="L14" s="61" t="s">
        <v>117</v>
      </c>
      <c r="M14" s="61" t="s">
        <v>117</v>
      </c>
      <c r="N14" s="60"/>
      <c r="O14" s="61" t="s">
        <v>117</v>
      </c>
      <c r="P14" s="61" t="s">
        <v>117</v>
      </c>
      <c r="Q14" s="61" t="s">
        <v>117</v>
      </c>
      <c r="R14" s="63" t="s">
        <v>118</v>
      </c>
      <c r="S14" s="63" t="s">
        <v>118</v>
      </c>
      <c r="T14" s="61" t="s">
        <v>117</v>
      </c>
      <c r="U14" s="58"/>
      <c r="V14" s="58"/>
      <c r="W14" s="58"/>
      <c r="X14" s="58"/>
      <c r="Y14" s="58"/>
      <c r="Z14" s="58"/>
    </row>
    <row r="15" spans="1:26" x14ac:dyDescent="0.25">
      <c r="A15" s="91"/>
      <c r="B15" s="29" t="s">
        <v>110</v>
      </c>
      <c r="C15" s="60"/>
      <c r="D15" s="63" t="s">
        <v>118</v>
      </c>
      <c r="E15" s="60"/>
      <c r="F15" s="60"/>
      <c r="G15" s="60"/>
      <c r="H15" s="61" t="s">
        <v>117</v>
      </c>
      <c r="I15" s="60"/>
      <c r="J15" s="61" t="s">
        <v>117</v>
      </c>
      <c r="K15" s="61" t="s">
        <v>117</v>
      </c>
      <c r="L15" s="60"/>
      <c r="M15" s="63" t="s">
        <v>118</v>
      </c>
      <c r="N15" s="63" t="s">
        <v>118</v>
      </c>
      <c r="O15" s="60"/>
      <c r="P15" s="60"/>
      <c r="Q15" s="60"/>
      <c r="R15" s="60"/>
      <c r="S15" s="61" t="s">
        <v>117</v>
      </c>
      <c r="T15" s="62"/>
      <c r="U15" s="58"/>
      <c r="V15" s="58"/>
      <c r="W15" s="58"/>
      <c r="X15" s="58"/>
      <c r="Y15" s="58"/>
      <c r="Z15" s="58"/>
    </row>
    <row r="16" spans="1:26" x14ac:dyDescent="0.25">
      <c r="A16" s="91"/>
      <c r="B16" s="29" t="s">
        <v>111</v>
      </c>
      <c r="C16" s="60"/>
      <c r="D16" s="60"/>
      <c r="E16" s="61" t="s">
        <v>117</v>
      </c>
      <c r="F16" s="60"/>
      <c r="G16" s="60"/>
      <c r="H16" s="60"/>
      <c r="I16" s="60"/>
      <c r="J16" s="63" t="s">
        <v>118</v>
      </c>
      <c r="K16" s="60"/>
      <c r="L16" s="61" t="s">
        <v>117</v>
      </c>
      <c r="M16" s="60"/>
      <c r="N16" s="63" t="s">
        <v>118</v>
      </c>
      <c r="O16" s="60"/>
      <c r="P16" s="60"/>
      <c r="Q16" s="60"/>
      <c r="R16" s="63" t="s">
        <v>118</v>
      </c>
      <c r="S16" s="61" t="s">
        <v>117</v>
      </c>
      <c r="T16" s="62"/>
      <c r="U16" s="58"/>
      <c r="V16" s="58"/>
      <c r="W16" s="58"/>
      <c r="X16" s="58"/>
      <c r="Y16" s="58"/>
      <c r="Z16" s="58"/>
    </row>
    <row r="17" spans="1:26" x14ac:dyDescent="0.25">
      <c r="A17" s="91"/>
      <c r="B17" s="29" t="s">
        <v>112</v>
      </c>
      <c r="C17" s="61" t="s">
        <v>117</v>
      </c>
      <c r="D17" s="60"/>
      <c r="E17" s="60"/>
      <c r="F17" s="62"/>
      <c r="G17" s="63" t="s">
        <v>118</v>
      </c>
      <c r="H17" s="60"/>
      <c r="I17" s="60"/>
      <c r="J17" s="60"/>
      <c r="K17" s="60"/>
      <c r="L17" s="60"/>
      <c r="M17" s="60"/>
      <c r="N17" s="60"/>
      <c r="O17" s="60"/>
      <c r="P17" s="60"/>
      <c r="Q17" s="63" t="s">
        <v>118</v>
      </c>
      <c r="R17" s="61" t="s">
        <v>117</v>
      </c>
      <c r="S17" s="60"/>
      <c r="T17" s="63" t="s">
        <v>118</v>
      </c>
      <c r="U17" s="58"/>
      <c r="V17" s="58"/>
      <c r="W17" s="58"/>
      <c r="X17" s="58"/>
      <c r="Y17" s="58"/>
      <c r="Z17" s="58"/>
    </row>
    <row r="18" spans="1:26" x14ac:dyDescent="0.25">
      <c r="A18" s="91"/>
      <c r="B18" s="29" t="s">
        <v>113</v>
      </c>
      <c r="C18" s="60"/>
      <c r="D18" s="60"/>
      <c r="E18" s="60"/>
      <c r="F18" s="62"/>
      <c r="G18" s="61" t="s">
        <v>117</v>
      </c>
      <c r="H18" s="60"/>
      <c r="I18" s="60"/>
      <c r="J18" s="60"/>
      <c r="K18" s="60"/>
      <c r="L18" s="63" t="s">
        <v>118</v>
      </c>
      <c r="M18" s="65"/>
      <c r="N18" s="61" t="s">
        <v>117</v>
      </c>
      <c r="O18" s="60"/>
      <c r="P18" s="63" t="s">
        <v>118</v>
      </c>
      <c r="Q18" s="63" t="s">
        <v>118</v>
      </c>
      <c r="R18" s="61" t="s">
        <v>117</v>
      </c>
      <c r="S18" s="60"/>
      <c r="T18" s="60"/>
      <c r="U18" s="58"/>
      <c r="V18" s="58"/>
      <c r="W18" s="58"/>
      <c r="X18" s="58"/>
      <c r="Y18" s="58"/>
      <c r="Z18" s="58"/>
    </row>
    <row r="19" spans="1:26" x14ac:dyDescent="0.25">
      <c r="A19" s="91"/>
      <c r="B19" s="29" t="s">
        <v>114</v>
      </c>
      <c r="C19" s="60"/>
      <c r="D19" s="60"/>
      <c r="E19" s="61" t="s">
        <v>117</v>
      </c>
      <c r="F19" s="61" t="s">
        <v>117</v>
      </c>
      <c r="G19" s="60"/>
      <c r="H19" s="63" t="s">
        <v>118</v>
      </c>
      <c r="I19" s="63" t="s">
        <v>118</v>
      </c>
      <c r="J19" s="60"/>
      <c r="K19" s="61" t="s">
        <v>117</v>
      </c>
      <c r="L19" s="60"/>
      <c r="M19" s="60"/>
      <c r="N19" s="60"/>
      <c r="O19" s="60"/>
      <c r="P19" s="63" t="s">
        <v>118</v>
      </c>
      <c r="Q19" s="60"/>
      <c r="R19" s="60"/>
      <c r="S19" s="61" t="s">
        <v>117</v>
      </c>
      <c r="T19" s="62"/>
      <c r="U19" s="58"/>
      <c r="V19" s="58"/>
      <c r="W19" s="58"/>
      <c r="X19" s="58"/>
      <c r="Y19" s="58"/>
      <c r="Z19" s="58"/>
    </row>
    <row r="20" spans="1:26" x14ac:dyDescent="0.25">
      <c r="A20" s="91"/>
      <c r="B20" s="29" t="s">
        <v>115</v>
      </c>
      <c r="C20" s="60"/>
      <c r="D20" s="60"/>
      <c r="E20" s="60"/>
      <c r="F20" s="62"/>
      <c r="G20" s="61" t="s">
        <v>117</v>
      </c>
      <c r="H20" s="60"/>
      <c r="I20" s="60"/>
      <c r="J20" s="60"/>
      <c r="K20" s="60"/>
      <c r="L20" s="63" t="s">
        <v>118</v>
      </c>
      <c r="M20" s="60"/>
      <c r="N20" s="63" t="s">
        <v>118</v>
      </c>
      <c r="O20" s="60"/>
      <c r="P20" s="60"/>
      <c r="Q20" s="60"/>
      <c r="R20" s="60"/>
      <c r="S20" s="61" t="s">
        <v>117</v>
      </c>
      <c r="T20" s="61" t="s">
        <v>117</v>
      </c>
      <c r="U20" s="58"/>
      <c r="V20" s="58"/>
      <c r="W20" s="58"/>
      <c r="X20" s="58"/>
      <c r="Y20" s="58"/>
      <c r="Z20" s="58"/>
    </row>
    <row r="21" spans="1:26" x14ac:dyDescent="0.25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x14ac:dyDescent="0.25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x14ac:dyDescent="0.2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x14ac:dyDescent="0.25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x14ac:dyDescent="0.25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</sheetData>
  <mergeCells count="3">
    <mergeCell ref="A1:B2"/>
    <mergeCell ref="C1:T1"/>
    <mergeCell ref="A3:A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计算器</vt:lpstr>
      <vt:lpstr>自查速度线</vt:lpstr>
      <vt:lpstr>速度线</vt:lpstr>
      <vt:lpstr>属性克制表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2026-04-24T13:26:17Z</dcterms:modified>
</cp:coreProperties>
</file>